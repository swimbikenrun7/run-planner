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<sst xmlns="http://schemas.openxmlformats.org/spreadsheetml/2006/main" count="123" uniqueCount="34">
  <si>
    <t>Date</t>
  </si>
  <si>
    <t>Weekly Mileage/Notes</t>
  </si>
  <si>
    <t>WK-1</t>
  </si>
  <si>
    <t>Miles</t>
  </si>
  <si>
    <t>Mon</t>
  </si>
  <si>
    <t>Should be capable of</t>
  </si>
  <si>
    <t>Tue</t>
  </si>
  <si>
    <t>this schedule before</t>
  </si>
  <si>
    <t>Wed</t>
  </si>
  <si>
    <t>beginning the program</t>
  </si>
  <si>
    <t>Thur</t>
  </si>
  <si>
    <t>Fri</t>
  </si>
  <si>
    <t>Sat</t>
  </si>
  <si>
    <t>Sun</t>
  </si>
  <si>
    <t>WK-2</t>
  </si>
  <si>
    <t>Fartlek</t>
  </si>
  <si>
    <t>WK-3</t>
  </si>
  <si>
    <t>5-6 Hills @ 5k/10k pace</t>
  </si>
  <si>
    <t>WK-4</t>
  </si>
  <si>
    <t>WK-5</t>
  </si>
  <si>
    <t>4-5 Long Hills @ 5k/10k pace</t>
  </si>
  <si>
    <t>WK-6</t>
  </si>
  <si>
    <t>6x800 @ 5k/10k pace</t>
  </si>
  <si>
    <t>WK-7</t>
  </si>
  <si>
    <t>3xmile @ 5k/10k pace</t>
  </si>
  <si>
    <t>WK-8</t>
  </si>
  <si>
    <t>6x800 @ 5k pace</t>
  </si>
  <si>
    <t>WK-9</t>
  </si>
  <si>
    <t>4xmile @ 5k/10k pace</t>
  </si>
  <si>
    <t>WK-10</t>
  </si>
  <si>
    <t>WK-11</t>
  </si>
  <si>
    <t>WK-12</t>
  </si>
  <si>
    <t>Begin Taper</t>
  </si>
  <si>
    <t>Race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</si>
</sst>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7.0"/>
      <name val="Calibri"/>
    </font>
    <font>
      <b/>
      <sz val="7.0"/>
      <color rgb="FFFFFFFF"/>
      <name val="Verdana"/>
    </font>
    <font>
      <b/>
      <sz val="7.0"/>
      <color rgb="FF00009D"/>
      <name val="Verdana"/>
    </font>
    <font/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B5B5B5"/>
        <bgColor rgb="FFB5B5B5"/>
      </patternFill>
    </fill>
    <fill>
      <patternFill patternType="solid">
        <fgColor rgb="FFE0E0E0"/>
        <bgColor rgb="FFE0E0E0"/>
      </patternFill>
    </fill>
    <fill>
      <patternFill patternType="solid">
        <fgColor rgb="FF00009D"/>
        <bgColor rgb="FF00009D"/>
      </patternFill>
    </fill>
  </fills>
  <borders count="5">
    <border/>
    <border>
      <left/>
      <right/>
      <top/>
      <bottom/>
    </border>
    <border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horizontal="center" shrinkToFit="0" wrapText="1"/>
    </xf>
    <xf borderId="2" fillId="2" fontId="2" numFmtId="0" xfId="0" applyAlignment="1" applyBorder="1" applyFill="1" applyFont="1">
      <alignment horizontal="center" shrinkToFit="0" wrapText="0"/>
    </xf>
    <xf borderId="3" fillId="3" fontId="1" numFmtId="0" xfId="0" applyAlignment="1" applyBorder="1" applyFill="1" applyFont="1">
      <alignment vertical="bottom"/>
    </xf>
    <xf borderId="4" fillId="3" fontId="2" numFmtId="0" xfId="0" applyAlignment="1" applyBorder="1" applyFill="1" applyFont="1">
      <alignment horizontal="center" shrinkToFit="0" wrapText="1"/>
    </xf>
    <xf borderId="4" fillId="3" fontId="2" numFmtId="0" xfId="0" applyAlignment="1" applyBorder="1" applyFill="1" applyFont="1">
      <alignment horizontal="center" readingOrder="0" shrinkToFit="0" wrapText="1"/>
    </xf>
    <xf borderId="4" fillId="3" fontId="2" numFmtId="0" xfId="0" applyAlignment="1" applyBorder="1" applyFill="1" applyFont="1">
      <alignment horizontal="center" readingOrder="0" shrinkToFit="0" wrapText="0"/>
    </xf>
    <xf borderId="3" fillId="4" fontId="3" numFmtId="16" xfId="0" applyAlignment="1" applyBorder="1" applyFill="1" applyFont="1" applyNumberFormat="1">
      <alignment horizontal="center" shrinkToFit="0" wrapText="1"/>
    </xf>
    <xf borderId="4" fillId="4" fontId="3" numFmtId="0" xfId="0" applyAlignment="1" applyBorder="1" applyFill="1" applyFont="1">
      <alignment horizontal="center" shrinkToFit="0" wrapText="1"/>
    </xf>
    <xf borderId="4" fillId="5" fontId="3" numFmtId="0" xfId="0" applyAlignment="1" applyBorder="1" applyFill="1" applyFont="1">
      <alignment horizontal="center" readingOrder="0" shrinkToFit="0" wrapText="1"/>
    </xf>
    <xf borderId="4" fillId="5" fontId="3" numFmtId="0" xfId="0" applyAlignment="1" applyBorder="1" applyFill="1" applyFont="1">
      <alignment horizontal="center" shrinkToFit="0" vertical="bottom" wrapText="0"/>
    </xf>
    <xf borderId="4" fillId="5" fontId="3" numFmtId="0" xfId="0" applyAlignment="1" applyBorder="1" applyFill="1" applyFont="1">
      <alignment horizontal="center" readingOrder="0" shrinkToFit="0" wrapText="0"/>
    </xf>
    <xf borderId="4" fillId="3" fontId="1" numFmtId="0" xfId="0" applyAlignment="1" applyBorder="1" applyFill="1" applyFont="1">
      <alignment vertical="bottom"/>
    </xf>
    <xf borderId="3" fillId="6" fontId="1" numFmtId="0" xfId="0" applyAlignment="1" applyBorder="1" applyFill="1" applyFont="1">
      <alignment vertical="bottom"/>
    </xf>
    <xf borderId="4" fillId="6" fontId="2" numFmtId="0" xfId="0" applyAlignment="1" applyBorder="1" applyFill="1" applyFont="1">
      <alignment horizontal="center" shrinkToFit="0" wrapText="1"/>
    </xf>
    <xf borderId="4" fillId="6" fontId="2" numFmtId="0" xfId="0" applyAlignment="1" applyBorder="1" applyFill="1" applyFont="1">
      <alignment horizontal="center" shrinkToFit="0" wrapText="0"/>
    </xf>
    <xf borderId="0" fillId="0" fontId="4" numFmtId="0" xfId="0" applyAlignment="1" applyFont="1">
      <alignment readingOrder="0"/>
    </xf>
    <xf borderId="1" fillId="6" fontId="1" numFmtId="0" xfId="0" applyAlignment="1" applyBorder="1" applyFill="1" applyFont="1">
      <alignment vertical="bottom"/>
    </xf>
    <xf borderId="2" fillId="6" fontId="2" numFmtId="0" xfId="0" applyAlignment="1" applyBorder="1" applyFill="1" applyFont="1">
      <alignment horizontal="center" readingOrder="0" shrinkToFit="0" wrapText="1"/>
    </xf>
    <xf borderId="2" fillId="6" fontId="2" numFmtId="0" xfId="0" applyAlignment="1" applyBorder="1" applyFill="1" applyFont="1">
      <alignment horizontal="center" shrinkToFit="0" wrapText="1"/>
    </xf>
    <xf borderId="2" fillId="6" fontId="2" numFmtId="0" xfId="0" applyAlignment="1" applyBorder="1" applyFill="1" applyFont="1">
      <alignment horizontal="center" shrinkToFit="0" wrapText="0"/>
    </xf>
    <xf borderId="3" fillId="4" fontId="3" numFmtId="16" xfId="0" applyAlignment="1" applyBorder="1" applyFill="1" applyFont="1" applyNumberFormat="1">
      <alignment horizontal="center" readingOrder="0" shrinkToFit="0" wrapText="1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</cols>
  <sheetData>
    <row r="1">
      <c r="A1" s="1"/>
      <c r="B1" s="2" t="s">
        <v>0</v>
      </c>
      <c r="C1" s="2"/>
      <c r="D1" s="3" t="s">
        <v>1</v>
      </c>
    </row>
    <row r="2">
      <c r="A2" s="4"/>
      <c r="B2" s="5" t="s">
        <v>2</v>
      </c>
      <c r="C2" s="6" t="s">
        <v>3</v>
      </c>
      <c r="D2" s="7">
        <f>sum(C3:C9)</f>
        <v>30</v>
      </c>
    </row>
    <row r="3">
      <c r="A3" s="8">
        <f t="shared" ref="A3:A9" si="1">A11-7</f>
        <v>44221</v>
      </c>
      <c r="B3" s="9" t="s">
        <v>4</v>
      </c>
      <c r="C3" s="10">
        <v>4.0</v>
      </c>
      <c r="D3" s="11" t="s">
        <v>5</v>
      </c>
    </row>
    <row r="4">
      <c r="A4" s="8">
        <f t="shared" si="1"/>
        <v>44222</v>
      </c>
      <c r="B4" s="9" t="s">
        <v>6</v>
      </c>
      <c r="C4" s="10">
        <v>6.0</v>
      </c>
      <c r="D4" s="11" t="s">
        <v>7</v>
      </c>
    </row>
    <row r="5">
      <c r="A5" s="8">
        <f t="shared" si="1"/>
        <v>44223</v>
      </c>
      <c r="B5" s="9" t="s">
        <v>8</v>
      </c>
      <c r="C5" s="10">
        <v>4.0</v>
      </c>
      <c r="D5" s="11" t="s">
        <v>9</v>
      </c>
    </row>
    <row r="6">
      <c r="A6" s="8">
        <f t="shared" si="1"/>
        <v>44224</v>
      </c>
      <c r="B6" s="9" t="s">
        <v>10</v>
      </c>
      <c r="C6" s="10">
        <v>6.0</v>
      </c>
      <c r="D6" s="12"/>
    </row>
    <row r="7">
      <c r="A7" s="8">
        <f t="shared" si="1"/>
        <v>44225</v>
      </c>
      <c r="B7" s="9" t="s">
        <v>11</v>
      </c>
      <c r="C7" s="10">
        <v>3.0</v>
      </c>
      <c r="D7" s="12"/>
    </row>
    <row r="8">
      <c r="A8" s="8">
        <f t="shared" si="1"/>
        <v>44226</v>
      </c>
      <c r="B8" s="9" t="s">
        <v>12</v>
      </c>
      <c r="C8" s="10">
        <v>7.0</v>
      </c>
      <c r="D8" s="12"/>
    </row>
    <row r="9">
      <c r="A9" s="8">
        <f t="shared" si="1"/>
        <v>44227</v>
      </c>
      <c r="B9" s="9" t="s">
        <v>13</v>
      </c>
      <c r="C9" s="10"/>
      <c r="D9" s="12"/>
    </row>
    <row r="10">
      <c r="A10" s="4"/>
      <c r="B10" s="5" t="s">
        <v>2</v>
      </c>
      <c r="C10" s="6" t="s">
        <v>3</v>
      </c>
      <c r="D10" s="7">
        <f>sum(C11:C17)</f>
        <v>31</v>
      </c>
    </row>
    <row r="11">
      <c r="A11" s="8">
        <f t="shared" ref="A11:A17" si="2">A19-7</f>
        <v>44228</v>
      </c>
      <c r="B11" s="9" t="s">
        <v>4</v>
      </c>
      <c r="C11" s="10">
        <v>4.0</v>
      </c>
      <c r="D11" s="12"/>
    </row>
    <row r="12">
      <c r="A12" s="8">
        <f t="shared" si="2"/>
        <v>44229</v>
      </c>
      <c r="B12" s="9" t="s">
        <v>6</v>
      </c>
      <c r="C12" s="10">
        <v>6.0</v>
      </c>
      <c r="D12" s="12"/>
    </row>
    <row r="13">
      <c r="A13" s="8">
        <f t="shared" si="2"/>
        <v>44230</v>
      </c>
      <c r="B13" s="9" t="s">
        <v>8</v>
      </c>
      <c r="C13" s="10">
        <v>4.0</v>
      </c>
      <c r="D13" s="12"/>
    </row>
    <row r="14">
      <c r="A14" s="8">
        <f t="shared" si="2"/>
        <v>44231</v>
      </c>
      <c r="B14" s="9" t="s">
        <v>10</v>
      </c>
      <c r="C14" s="10">
        <v>6.0</v>
      </c>
      <c r="D14" s="12"/>
    </row>
    <row r="15">
      <c r="A15" s="8">
        <f t="shared" si="2"/>
        <v>44232</v>
      </c>
      <c r="B15" s="9" t="s">
        <v>11</v>
      </c>
      <c r="C15" s="10">
        <v>3.0</v>
      </c>
      <c r="D15" s="12"/>
    </row>
    <row r="16">
      <c r="A16" s="8">
        <f t="shared" si="2"/>
        <v>44233</v>
      </c>
      <c r="B16" s="9" t="s">
        <v>12</v>
      </c>
      <c r="C16" s="10">
        <v>8.0</v>
      </c>
      <c r="D16" s="12"/>
    </row>
    <row r="17">
      <c r="A17" s="8">
        <f t="shared" si="2"/>
        <v>44234</v>
      </c>
      <c r="B17" s="9" t="s">
        <v>13</v>
      </c>
      <c r="C17" s="10"/>
      <c r="D17" s="12"/>
    </row>
    <row r="18">
      <c r="A18" s="4"/>
      <c r="B18" s="5" t="s">
        <v>14</v>
      </c>
      <c r="C18" s="13"/>
      <c r="D18" s="7">
        <f>sum(C19:C25)</f>
        <v>31</v>
      </c>
    </row>
    <row r="19">
      <c r="A19" s="8">
        <f t="shared" ref="A19:A25" si="3">A27-7</f>
        <v>44235</v>
      </c>
      <c r="B19" s="9" t="s">
        <v>4</v>
      </c>
      <c r="C19" s="10">
        <v>5.0</v>
      </c>
      <c r="D19" s="12" t="s">
        <v>15</v>
      </c>
    </row>
    <row r="20">
      <c r="A20" s="8">
        <f t="shared" si="3"/>
        <v>44236</v>
      </c>
      <c r="B20" s="9" t="s">
        <v>6</v>
      </c>
      <c r="C20" s="10">
        <v>3.0</v>
      </c>
      <c r="D20" s="12"/>
    </row>
    <row r="21">
      <c r="A21" s="8">
        <f t="shared" si="3"/>
        <v>44237</v>
      </c>
      <c r="B21" s="9" t="s">
        <v>8</v>
      </c>
      <c r="C21" s="10">
        <v>5.0</v>
      </c>
      <c r="D21" s="12"/>
    </row>
    <row r="22">
      <c r="A22" s="8">
        <f t="shared" si="3"/>
        <v>44238</v>
      </c>
      <c r="B22" s="9" t="s">
        <v>10</v>
      </c>
      <c r="C22" s="10">
        <v>6.0</v>
      </c>
      <c r="D22" s="12"/>
    </row>
    <row r="23">
      <c r="A23" s="8">
        <f t="shared" si="3"/>
        <v>44239</v>
      </c>
      <c r="B23" s="9" t="s">
        <v>11</v>
      </c>
      <c r="C23" s="10">
        <v>3.0</v>
      </c>
      <c r="D23" s="12"/>
    </row>
    <row r="24">
      <c r="A24" s="8">
        <f t="shared" si="3"/>
        <v>44240</v>
      </c>
      <c r="B24" s="9" t="s">
        <v>12</v>
      </c>
      <c r="C24" s="10">
        <v>9.0</v>
      </c>
      <c r="D24" s="12"/>
    </row>
    <row r="25">
      <c r="A25" s="8">
        <f t="shared" si="3"/>
        <v>44241</v>
      </c>
      <c r="B25" s="9" t="s">
        <v>13</v>
      </c>
      <c r="C25" s="10"/>
      <c r="D25" s="12"/>
    </row>
    <row r="26">
      <c r="A26" s="4"/>
      <c r="B26" s="5" t="s">
        <v>16</v>
      </c>
      <c r="C26" s="13"/>
      <c r="D26" s="7">
        <f>sum(C27:C33)</f>
        <v>28</v>
      </c>
    </row>
    <row r="27">
      <c r="A27" s="8">
        <f t="shared" ref="A27:A33" si="4">A35-7</f>
        <v>44242</v>
      </c>
      <c r="B27" s="9" t="s">
        <v>4</v>
      </c>
      <c r="C27" s="10">
        <v>10.0</v>
      </c>
      <c r="D27" s="12"/>
    </row>
    <row r="28">
      <c r="A28" s="8">
        <f t="shared" si="4"/>
        <v>44243</v>
      </c>
      <c r="B28" s="9" t="s">
        <v>6</v>
      </c>
      <c r="C28" s="10"/>
      <c r="D28" s="12"/>
    </row>
    <row r="29">
      <c r="A29" s="8">
        <f t="shared" si="4"/>
        <v>44244</v>
      </c>
      <c r="B29" s="9" t="s">
        <v>8</v>
      </c>
      <c r="C29" s="10">
        <v>3.0</v>
      </c>
      <c r="D29" s="12"/>
    </row>
    <row r="30">
      <c r="A30" s="8">
        <f t="shared" si="4"/>
        <v>44245</v>
      </c>
      <c r="B30" s="9" t="s">
        <v>10</v>
      </c>
      <c r="C30" s="10">
        <v>6.0</v>
      </c>
      <c r="D30" s="12"/>
    </row>
    <row r="31">
      <c r="A31" s="8">
        <f t="shared" si="4"/>
        <v>44246</v>
      </c>
      <c r="B31" s="9" t="s">
        <v>11</v>
      </c>
      <c r="C31" s="10"/>
      <c r="D31" s="12"/>
    </row>
    <row r="32">
      <c r="A32" s="8">
        <f t="shared" si="4"/>
        <v>44247</v>
      </c>
      <c r="B32" s="9" t="s">
        <v>12</v>
      </c>
      <c r="C32" s="10">
        <v>6.0</v>
      </c>
      <c r="D32" s="12"/>
    </row>
    <row r="33">
      <c r="A33" s="8">
        <f t="shared" si="4"/>
        <v>44248</v>
      </c>
      <c r="B33" s="9" t="s">
        <v>13</v>
      </c>
      <c r="C33" s="10">
        <v>3.0</v>
      </c>
      <c r="D33" s="12" t="s">
        <v>17</v>
      </c>
    </row>
    <row r="34">
      <c r="A34" s="14"/>
      <c r="B34" s="15" t="s">
        <v>18</v>
      </c>
      <c r="C34" s="15"/>
      <c r="D34" s="16">
        <f>sum(C35:C41)</f>
        <v>27</v>
      </c>
    </row>
    <row r="35">
      <c r="A35" s="8">
        <f t="shared" ref="A35:A41" si="5">A43-7</f>
        <v>44249</v>
      </c>
      <c r="B35" s="9" t="s">
        <v>4</v>
      </c>
      <c r="C35" s="10">
        <v>8.0</v>
      </c>
      <c r="D35" s="12"/>
    </row>
    <row r="36">
      <c r="A36" s="8">
        <f t="shared" si="5"/>
        <v>44250</v>
      </c>
      <c r="B36" s="9" t="s">
        <v>6</v>
      </c>
      <c r="C36" s="10"/>
      <c r="D36" s="12"/>
    </row>
    <row r="37">
      <c r="A37" s="8">
        <f t="shared" si="5"/>
        <v>44251</v>
      </c>
      <c r="B37" s="9" t="s">
        <v>8</v>
      </c>
      <c r="C37" s="10">
        <v>3.0</v>
      </c>
      <c r="D37" s="12"/>
    </row>
    <row r="38">
      <c r="A38" s="8">
        <f t="shared" si="5"/>
        <v>44252</v>
      </c>
      <c r="B38" s="9" t="s">
        <v>10</v>
      </c>
      <c r="C38" s="10">
        <v>5.0</v>
      </c>
      <c r="D38" s="12" t="s">
        <v>15</v>
      </c>
    </row>
    <row r="39">
      <c r="A39" s="8">
        <f t="shared" si="5"/>
        <v>44253</v>
      </c>
      <c r="B39" s="9" t="s">
        <v>11</v>
      </c>
      <c r="C39" s="10"/>
      <c r="D39" s="12"/>
    </row>
    <row r="40">
      <c r="A40" s="8">
        <f t="shared" si="5"/>
        <v>44254</v>
      </c>
      <c r="B40" s="9" t="s">
        <v>12</v>
      </c>
      <c r="C40" s="10">
        <v>6.0</v>
      </c>
      <c r="D40" s="12"/>
    </row>
    <row r="41">
      <c r="A41" s="8">
        <f t="shared" si="5"/>
        <v>44255</v>
      </c>
      <c r="B41" s="9" t="s">
        <v>13</v>
      </c>
      <c r="C41" s="10">
        <v>5.0</v>
      </c>
      <c r="D41" s="12"/>
    </row>
    <row r="42">
      <c r="A42" s="4"/>
      <c r="B42" s="5" t="s">
        <v>19</v>
      </c>
      <c r="C42" s="13"/>
      <c r="D42" s="7">
        <f>sum(C43:C49)</f>
        <v>31</v>
      </c>
    </row>
    <row r="43">
      <c r="A43" s="8">
        <f t="shared" ref="A43:A49" si="6">A51-7</f>
        <v>44256</v>
      </c>
      <c r="B43" s="9" t="s">
        <v>4</v>
      </c>
      <c r="C43" s="10">
        <v>11.0</v>
      </c>
      <c r="D43" s="12"/>
    </row>
    <row r="44">
      <c r="A44" s="8">
        <f t="shared" si="6"/>
        <v>44257</v>
      </c>
      <c r="B44" s="9" t="s">
        <v>6</v>
      </c>
      <c r="C44" s="10"/>
      <c r="D44" s="12"/>
    </row>
    <row r="45">
      <c r="A45" s="8">
        <f t="shared" si="6"/>
        <v>44258</v>
      </c>
      <c r="B45" s="9" t="s">
        <v>8</v>
      </c>
      <c r="C45" s="10">
        <v>4.0</v>
      </c>
      <c r="D45" s="12"/>
    </row>
    <row r="46">
      <c r="A46" s="8">
        <f t="shared" si="6"/>
        <v>44259</v>
      </c>
      <c r="B46" s="9" t="s">
        <v>10</v>
      </c>
      <c r="C46" s="10">
        <v>5.0</v>
      </c>
      <c r="D46" s="12" t="s">
        <v>20</v>
      </c>
    </row>
    <row r="47">
      <c r="A47" s="8">
        <f t="shared" si="6"/>
        <v>44260</v>
      </c>
      <c r="B47" s="9" t="s">
        <v>11</v>
      </c>
      <c r="C47" s="10"/>
      <c r="D47" s="12"/>
    </row>
    <row r="48">
      <c r="A48" s="8">
        <f t="shared" si="6"/>
        <v>44261</v>
      </c>
      <c r="B48" s="9" t="s">
        <v>12</v>
      </c>
      <c r="C48" s="10">
        <v>6.0</v>
      </c>
      <c r="D48" s="12"/>
    </row>
    <row r="49">
      <c r="A49" s="8">
        <f t="shared" si="6"/>
        <v>44262</v>
      </c>
      <c r="B49" s="9" t="s">
        <v>13</v>
      </c>
      <c r="C49" s="10">
        <v>5.0</v>
      </c>
      <c r="D49" s="12"/>
    </row>
    <row r="50">
      <c r="A50" s="4"/>
      <c r="B50" s="5" t="s">
        <v>21</v>
      </c>
      <c r="C50" s="13"/>
      <c r="D50" s="7">
        <f>sum(C51:C57)</f>
        <v>29</v>
      </c>
    </row>
    <row r="51">
      <c r="A51" s="8">
        <f t="shared" ref="A51:A57" si="7">A59-7</f>
        <v>44263</v>
      </c>
      <c r="B51" s="9" t="s">
        <v>4</v>
      </c>
      <c r="C51" s="10">
        <v>8.0</v>
      </c>
      <c r="D51" s="12"/>
    </row>
    <row r="52">
      <c r="A52" s="8">
        <f t="shared" si="7"/>
        <v>44264</v>
      </c>
      <c r="B52" s="9" t="s">
        <v>6</v>
      </c>
      <c r="C52" s="10"/>
      <c r="D52" s="12"/>
    </row>
    <row r="53">
      <c r="A53" s="8">
        <f t="shared" si="7"/>
        <v>44265</v>
      </c>
      <c r="B53" s="9" t="s">
        <v>8</v>
      </c>
      <c r="C53" s="10">
        <v>4.0</v>
      </c>
      <c r="D53" s="12"/>
    </row>
    <row r="54">
      <c r="A54" s="8">
        <f t="shared" si="7"/>
        <v>44266</v>
      </c>
      <c r="B54" s="9" t="s">
        <v>10</v>
      </c>
      <c r="C54" s="10">
        <v>5.0</v>
      </c>
      <c r="D54" s="12" t="s">
        <v>22</v>
      </c>
    </row>
    <row r="55">
      <c r="A55" s="8">
        <f t="shared" si="7"/>
        <v>44267</v>
      </c>
      <c r="B55" s="9" t="s">
        <v>11</v>
      </c>
      <c r="C55" s="10"/>
      <c r="D55" s="12"/>
    </row>
    <row r="56">
      <c r="A56" s="8">
        <f t="shared" si="7"/>
        <v>44268</v>
      </c>
      <c r="B56" s="9" t="s">
        <v>12</v>
      </c>
      <c r="C56" s="10">
        <v>7.0</v>
      </c>
      <c r="D56" s="12"/>
    </row>
    <row r="57">
      <c r="A57" s="8">
        <f t="shared" si="7"/>
        <v>44269</v>
      </c>
      <c r="B57" s="9" t="s">
        <v>13</v>
      </c>
      <c r="C57" s="10">
        <v>5.0</v>
      </c>
      <c r="D57" s="12"/>
    </row>
    <row r="58">
      <c r="A58" s="4"/>
      <c r="B58" s="5" t="s">
        <v>23</v>
      </c>
      <c r="C58" s="13"/>
      <c r="D58" s="7">
        <f>sum(C59:C65)</f>
        <v>33</v>
      </c>
    </row>
    <row r="59">
      <c r="A59" s="8">
        <f t="shared" ref="A59:A65" si="8">A67-7</f>
        <v>44270</v>
      </c>
      <c r="B59" s="9" t="s">
        <v>4</v>
      </c>
      <c r="C59" s="10">
        <v>12.0</v>
      </c>
      <c r="D59" s="12"/>
    </row>
    <row r="60">
      <c r="A60" s="8">
        <f t="shared" si="8"/>
        <v>44271</v>
      </c>
      <c r="B60" s="9" t="s">
        <v>6</v>
      </c>
      <c r="C60" s="10"/>
      <c r="D60" s="12"/>
    </row>
    <row r="61">
      <c r="A61" s="8">
        <f t="shared" si="8"/>
        <v>44272</v>
      </c>
      <c r="B61" s="9" t="s">
        <v>8</v>
      </c>
      <c r="C61" s="10">
        <v>4.0</v>
      </c>
      <c r="D61" s="12"/>
    </row>
    <row r="62">
      <c r="A62" s="8">
        <f t="shared" si="8"/>
        <v>44273</v>
      </c>
      <c r="B62" s="9" t="s">
        <v>10</v>
      </c>
      <c r="C62" s="10">
        <v>5.0</v>
      </c>
      <c r="D62" s="12" t="s">
        <v>24</v>
      </c>
    </row>
    <row r="63">
      <c r="A63" s="8">
        <f t="shared" si="8"/>
        <v>44274</v>
      </c>
      <c r="B63" s="9" t="s">
        <v>11</v>
      </c>
      <c r="C63" s="10"/>
      <c r="D63" s="12"/>
    </row>
    <row r="64">
      <c r="A64" s="8">
        <f t="shared" si="8"/>
        <v>44275</v>
      </c>
      <c r="B64" s="9" t="s">
        <v>12</v>
      </c>
      <c r="C64" s="10">
        <v>7.0</v>
      </c>
      <c r="D64" s="12"/>
    </row>
    <row r="65">
      <c r="A65" s="8">
        <f t="shared" si="8"/>
        <v>44276</v>
      </c>
      <c r="B65" s="9" t="s">
        <v>13</v>
      </c>
      <c r="C65" s="10">
        <v>5.0</v>
      </c>
      <c r="D65" s="12"/>
    </row>
    <row r="66">
      <c r="A66" s="14"/>
      <c r="B66" s="15" t="s">
        <v>25</v>
      </c>
      <c r="C66" s="15"/>
      <c r="D66" s="16">
        <f>sum(C67:C73)</f>
        <v>31</v>
      </c>
    </row>
    <row r="67">
      <c r="A67" s="8">
        <f t="shared" ref="A67:A73" si="9">A75-7</f>
        <v>44277</v>
      </c>
      <c r="B67" s="9" t="s">
        <v>4</v>
      </c>
      <c r="C67" s="10">
        <v>9.0</v>
      </c>
      <c r="D67" s="12"/>
    </row>
    <row r="68">
      <c r="A68" s="8">
        <f t="shared" si="9"/>
        <v>44278</v>
      </c>
      <c r="B68" s="9" t="s">
        <v>6</v>
      </c>
      <c r="C68" s="10"/>
      <c r="D68" s="12"/>
    </row>
    <row r="69">
      <c r="A69" s="8">
        <f t="shared" si="9"/>
        <v>44279</v>
      </c>
      <c r="B69" s="9" t="s">
        <v>8</v>
      </c>
      <c r="C69" s="10">
        <v>5.0</v>
      </c>
      <c r="D69" s="12"/>
    </row>
    <row r="70">
      <c r="A70" s="8">
        <f t="shared" si="9"/>
        <v>44280</v>
      </c>
      <c r="B70" s="9" t="s">
        <v>10</v>
      </c>
      <c r="C70" s="10">
        <v>5.0</v>
      </c>
      <c r="D70" s="12" t="s">
        <v>26</v>
      </c>
    </row>
    <row r="71">
      <c r="A71" s="8">
        <f t="shared" si="9"/>
        <v>44281</v>
      </c>
      <c r="B71" s="9" t="s">
        <v>11</v>
      </c>
      <c r="C71" s="10"/>
      <c r="D71" s="12"/>
    </row>
    <row r="72">
      <c r="A72" s="8">
        <f t="shared" si="9"/>
        <v>44282</v>
      </c>
      <c r="B72" s="9" t="s">
        <v>12</v>
      </c>
      <c r="C72" s="10">
        <v>7.0</v>
      </c>
      <c r="D72" s="12"/>
    </row>
    <row r="73">
      <c r="A73" s="8">
        <f t="shared" si="9"/>
        <v>44283</v>
      </c>
      <c r="B73" s="9" t="s">
        <v>13</v>
      </c>
      <c r="C73" s="10">
        <v>5.0</v>
      </c>
      <c r="D73" s="12"/>
    </row>
    <row r="74">
      <c r="A74" s="4"/>
      <c r="B74" s="5" t="s">
        <v>27</v>
      </c>
      <c r="C74" s="13"/>
      <c r="D74" s="7">
        <f>sum(C75:C81)</f>
        <v>36</v>
      </c>
    </row>
    <row r="75">
      <c r="A75" s="8">
        <f t="shared" ref="A75:A81" si="10">A83-7</f>
        <v>44284</v>
      </c>
      <c r="B75" s="9" t="s">
        <v>4</v>
      </c>
      <c r="C75" s="10">
        <v>14.0</v>
      </c>
      <c r="D75" s="12"/>
    </row>
    <row r="76">
      <c r="A76" s="8">
        <f t="shared" si="10"/>
        <v>44285</v>
      </c>
      <c r="B76" s="9" t="s">
        <v>6</v>
      </c>
      <c r="C76" s="10"/>
      <c r="D76" s="12"/>
    </row>
    <row r="77">
      <c r="A77" s="8">
        <f t="shared" si="10"/>
        <v>44286</v>
      </c>
      <c r="B77" s="9" t="s">
        <v>8</v>
      </c>
      <c r="C77" s="10">
        <v>4.0</v>
      </c>
      <c r="D77" s="12"/>
    </row>
    <row r="78">
      <c r="A78" s="8">
        <f t="shared" si="10"/>
        <v>44287</v>
      </c>
      <c r="B78" s="9" t="s">
        <v>10</v>
      </c>
      <c r="C78" s="10">
        <v>6.0</v>
      </c>
      <c r="D78" s="12" t="s">
        <v>28</v>
      </c>
    </row>
    <row r="79">
      <c r="A79" s="8">
        <f t="shared" si="10"/>
        <v>44288</v>
      </c>
      <c r="B79" s="9" t="s">
        <v>11</v>
      </c>
      <c r="C79" s="10"/>
      <c r="D79" s="12"/>
    </row>
    <row r="80">
      <c r="A80" s="8">
        <f t="shared" si="10"/>
        <v>44289</v>
      </c>
      <c r="B80" s="9" t="s">
        <v>12</v>
      </c>
      <c r="C80" s="10">
        <v>7.0</v>
      </c>
      <c r="D80" s="12"/>
    </row>
    <row r="81">
      <c r="A81" s="8">
        <f t="shared" si="10"/>
        <v>44290</v>
      </c>
      <c r="B81" s="9" t="s">
        <v>13</v>
      </c>
      <c r="C81" s="10">
        <v>5.0</v>
      </c>
      <c r="D81" s="12"/>
    </row>
    <row r="82">
      <c r="A82" s="4"/>
      <c r="B82" s="5" t="s">
        <v>29</v>
      </c>
      <c r="C82" s="13"/>
      <c r="D82" s="7">
        <f>sum(C83:C89)</f>
        <v>38</v>
      </c>
    </row>
    <row r="83">
      <c r="A83" s="8">
        <f t="shared" ref="A83:A89" si="11">A91-7</f>
        <v>44291</v>
      </c>
      <c r="B83" s="9" t="s">
        <v>4</v>
      </c>
      <c r="C83" s="10">
        <v>15.0</v>
      </c>
      <c r="D83" s="12"/>
    </row>
    <row r="84">
      <c r="A84" s="8">
        <f t="shared" si="11"/>
        <v>44292</v>
      </c>
      <c r="B84" s="9" t="s">
        <v>6</v>
      </c>
      <c r="C84" s="10"/>
      <c r="D84" s="12"/>
      <c r="E84" s="17"/>
    </row>
    <row r="85">
      <c r="A85" s="8">
        <f t="shared" si="11"/>
        <v>44293</v>
      </c>
      <c r="B85" s="9" t="s">
        <v>8</v>
      </c>
      <c r="C85" s="10">
        <v>5.0</v>
      </c>
      <c r="D85" s="12"/>
    </row>
    <row r="86">
      <c r="A86" s="8">
        <f t="shared" si="11"/>
        <v>44294</v>
      </c>
      <c r="B86" s="9" t="s">
        <v>10</v>
      </c>
      <c r="C86" s="10">
        <v>5.0</v>
      </c>
      <c r="D86" s="12" t="s">
        <v>26</v>
      </c>
    </row>
    <row r="87">
      <c r="A87" s="8">
        <f t="shared" si="11"/>
        <v>44295</v>
      </c>
      <c r="B87" s="9" t="s">
        <v>11</v>
      </c>
      <c r="C87" s="10"/>
      <c r="D87" s="12"/>
    </row>
    <row r="88">
      <c r="A88" s="8">
        <f t="shared" si="11"/>
        <v>44296</v>
      </c>
      <c r="B88" s="9" t="s">
        <v>12</v>
      </c>
      <c r="C88" s="10">
        <v>8.0</v>
      </c>
      <c r="D88" s="12"/>
    </row>
    <row r="89">
      <c r="A89" s="8">
        <f t="shared" si="11"/>
        <v>44297</v>
      </c>
      <c r="B89" s="9" t="s">
        <v>13</v>
      </c>
      <c r="C89" s="10">
        <v>5.0</v>
      </c>
      <c r="D89" s="12"/>
    </row>
    <row r="90">
      <c r="A90" s="4"/>
      <c r="B90" s="5" t="s">
        <v>30</v>
      </c>
      <c r="C90" s="13"/>
      <c r="D90" s="7">
        <f>sum(C91:C97)</f>
        <v>34</v>
      </c>
    </row>
    <row r="91">
      <c r="A91" s="8">
        <f t="shared" ref="A91:A97" si="12">A99-7</f>
        <v>44298</v>
      </c>
      <c r="B91" s="9" t="s">
        <v>4</v>
      </c>
      <c r="C91" s="10">
        <v>12.0</v>
      </c>
      <c r="D91" s="12"/>
    </row>
    <row r="92">
      <c r="A92" s="8">
        <f t="shared" si="12"/>
        <v>44299</v>
      </c>
      <c r="B92" s="9" t="s">
        <v>6</v>
      </c>
      <c r="C92" s="10"/>
      <c r="D92" s="12"/>
    </row>
    <row r="93">
      <c r="A93" s="8">
        <f t="shared" si="12"/>
        <v>44300</v>
      </c>
      <c r="B93" s="9" t="s">
        <v>8</v>
      </c>
      <c r="C93" s="10">
        <v>5.0</v>
      </c>
      <c r="D93" s="12"/>
    </row>
    <row r="94">
      <c r="A94" s="8">
        <f t="shared" si="12"/>
        <v>44301</v>
      </c>
      <c r="B94" s="9" t="s">
        <v>10</v>
      </c>
      <c r="C94" s="10">
        <v>5.0</v>
      </c>
      <c r="D94" s="12" t="s">
        <v>15</v>
      </c>
    </row>
    <row r="95">
      <c r="A95" s="8">
        <f t="shared" si="12"/>
        <v>44302</v>
      </c>
      <c r="B95" s="9" t="s">
        <v>11</v>
      </c>
      <c r="C95" s="10"/>
      <c r="D95" s="12"/>
    </row>
    <row r="96">
      <c r="A96" s="8">
        <f t="shared" si="12"/>
        <v>44303</v>
      </c>
      <c r="B96" s="9" t="s">
        <v>12</v>
      </c>
      <c r="C96" s="10">
        <v>7.0</v>
      </c>
      <c r="D96" s="12"/>
    </row>
    <row r="97">
      <c r="A97" s="8">
        <f t="shared" si="12"/>
        <v>44304</v>
      </c>
      <c r="B97" s="9" t="s">
        <v>13</v>
      </c>
      <c r="C97" s="10">
        <v>5.0</v>
      </c>
      <c r="D97" s="12"/>
    </row>
    <row r="98">
      <c r="A98" s="18"/>
      <c r="B98" s="19" t="s">
        <v>31</v>
      </c>
      <c r="C98" s="20" t="s">
        <v>32</v>
      </c>
      <c r="D98" s="21">
        <f>sum(C99:C105)</f>
        <v>20</v>
      </c>
    </row>
    <row r="99">
      <c r="A99" s="8">
        <f t="shared" ref="A99:A104" si="13">A100-1</f>
        <v>44305</v>
      </c>
      <c r="B99" s="9" t="s">
        <v>4</v>
      </c>
      <c r="C99" s="10">
        <v>8.0</v>
      </c>
      <c r="D99" s="12"/>
    </row>
    <row r="100">
      <c r="A100" s="8">
        <f t="shared" si="13"/>
        <v>44306</v>
      </c>
      <c r="B100" s="9" t="s">
        <v>6</v>
      </c>
      <c r="C100" s="10"/>
      <c r="D100" s="12"/>
    </row>
    <row r="101">
      <c r="A101" s="8">
        <f t="shared" si="13"/>
        <v>44307</v>
      </c>
      <c r="B101" s="9" t="s">
        <v>8</v>
      </c>
      <c r="C101" s="10">
        <v>5.0</v>
      </c>
      <c r="D101" s="12"/>
    </row>
    <row r="102">
      <c r="A102" s="8">
        <f t="shared" si="13"/>
        <v>44308</v>
      </c>
      <c r="B102" s="9" t="s">
        <v>10</v>
      </c>
      <c r="C102" s="10">
        <v>4.0</v>
      </c>
      <c r="D102" s="12"/>
    </row>
    <row r="103">
      <c r="A103" s="8">
        <f t="shared" si="13"/>
        <v>44309</v>
      </c>
      <c r="B103" s="9" t="s">
        <v>11</v>
      </c>
      <c r="C103" s="10"/>
      <c r="D103" s="12"/>
    </row>
    <row r="104">
      <c r="A104" s="8">
        <f t="shared" si="13"/>
        <v>44310</v>
      </c>
      <c r="B104" s="9" t="s">
        <v>12</v>
      </c>
      <c r="C104" s="10">
        <v>3.0</v>
      </c>
      <c r="D104" s="12"/>
    </row>
    <row r="105">
      <c r="A105" s="22">
        <v>44311.0</v>
      </c>
      <c r="B105" s="9" t="s">
        <v>13</v>
      </c>
      <c r="C105" s="10" t="s">
        <v>33</v>
      </c>
      <c r="D105" s="12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  <row r="950">
      <c r="D950" s="23"/>
    </row>
    <row r="951">
      <c r="D951" s="23"/>
    </row>
    <row r="952">
      <c r="D952" s="23"/>
    </row>
    <row r="953">
      <c r="D953" s="23"/>
    </row>
    <row r="954">
      <c r="D954" s="23"/>
    </row>
    <row r="955">
      <c r="D955" s="23"/>
    </row>
    <row r="956">
      <c r="D956" s="23"/>
    </row>
    <row r="957">
      <c r="D957" s="23"/>
    </row>
    <row r="958">
      <c r="D958" s="23"/>
    </row>
    <row r="959">
      <c r="D959" s="23"/>
    </row>
    <row r="960">
      <c r="D960" s="23"/>
    </row>
    <row r="961">
      <c r="D961" s="23"/>
    </row>
    <row r="962">
      <c r="D962" s="23"/>
    </row>
    <row r="963">
      <c r="D963" s="23"/>
    </row>
    <row r="964">
      <c r="D964" s="23"/>
    </row>
    <row r="965">
      <c r="D965" s="23"/>
    </row>
    <row r="966">
      <c r="D966" s="23"/>
    </row>
    <row r="967">
      <c r="D967" s="23"/>
    </row>
    <row r="968">
      <c r="D968" s="23"/>
    </row>
    <row r="969">
      <c r="D969" s="23"/>
    </row>
    <row r="970">
      <c r="D970" s="23"/>
    </row>
    <row r="971">
      <c r="D971" s="23"/>
    </row>
    <row r="972">
      <c r="D972" s="23"/>
    </row>
    <row r="973">
      <c r="D973" s="23"/>
    </row>
    <row r="974">
      <c r="D974" s="23"/>
    </row>
    <row r="975">
      <c r="D975" s="23"/>
    </row>
    <row r="976">
      <c r="D976" s="23"/>
    </row>
    <row r="977">
      <c r="D977" s="23"/>
    </row>
    <row r="978">
      <c r="D978" s="23"/>
    </row>
    <row r="979">
      <c r="D979" s="23"/>
    </row>
    <row r="980">
      <c r="D980" s="23"/>
    </row>
    <row r="981">
      <c r="D981" s="23"/>
    </row>
    <row r="982">
      <c r="D982" s="23"/>
    </row>
    <row r="983">
      <c r="D983" s="23"/>
    </row>
    <row r="984">
      <c r="D984" s="23"/>
    </row>
    <row r="985">
      <c r="D985" s="23"/>
    </row>
    <row r="986">
      <c r="D986" s="23"/>
    </row>
    <row r="987">
      <c r="D987" s="23"/>
    </row>
    <row r="988">
      <c r="D988" s="23"/>
    </row>
    <row r="989">
      <c r="D989" s="23"/>
    </row>
    <row r="990">
      <c r="D990" s="23"/>
    </row>
    <row r="991">
      <c r="D991" s="23"/>
    </row>
    <row r="992">
      <c r="D992" s="23"/>
    </row>
    <row r="993">
      <c r="D993" s="23"/>
    </row>
    <row r="994">
      <c r="D994" s="23"/>
    </row>
    <row r="995">
      <c r="D995" s="23"/>
    </row>
    <row r="996">
      <c r="D996" s="23"/>
    </row>
    <row r="997">
      <c r="D997" s="23"/>
    </row>
    <row r="998">
      <c r="D998" s="23"/>
    </row>
    <row r="999">
      <c r="D999" s="23"/>
    </row>
    <row r="1000">
      <c r="D1000" s="23"/>
    </row>
    <row r="1001">
      <c r="D1001" s="23"/>
    </row>
    <row r="1002">
      <c r="D1002" s="23"/>
    </row>
    <row r="1003">
      <c r="D1003" s="23"/>
    </row>
    <row r="1004">
      <c r="D1004" s="23"/>
    </row>
    <row r="1005">
      <c r="D1005" s="23"/>
    </row>
    <row r="1006">
      <c r="D1006" s="23"/>
    </row>
    <row r="1007">
      <c r="D1007" s="23"/>
    </row>
    <row r="1008">
      <c r="D1008" s="23"/>
    </row>
  </sheetData>
  <drawing r:id="rId1"/>
</worksheet>
</file>