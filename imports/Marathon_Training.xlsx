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<sst xmlns="http://schemas.openxmlformats.org/spreadsheetml/2006/main" count="195" uniqueCount="47">
  <si>
    <t>Date</t>
  </si>
  <si>
    <t>Weekly Mileage/Notes</t>
  </si>
  <si>
    <t>Miles</t>
  </si>
  <si>
    <t>Mon</t>
  </si>
  <si>
    <t>Should be capable of</t>
  </si>
  <si>
    <t>Tue</t>
  </si>
  <si>
    <t>this schedule before</t>
  </si>
  <si>
    <t>Wed</t>
  </si>
  <si>
    <t>beginning the program</t>
  </si>
  <si>
    <t>Thur</t>
  </si>
  <si>
    <t>Fri</t>
  </si>
  <si>
    <t>Sat</t>
  </si>
  <si>
    <t>Sun</t>
  </si>
  <si>
    <t>WK-1</t>
  </si>
  <si>
    <t>WK-2</t>
  </si>
  <si>
    <t>Fartlek</t>
  </si>
  <si>
    <t>WK-3</t>
  </si>
  <si>
    <t>5-6 Hills @ 5k/10k pace</t>
  </si>
  <si>
    <t>WK-4</t>
  </si>
  <si>
    <t>WK-5</t>
  </si>
  <si>
    <t>6x400 @ 5k pace</t>
  </si>
  <si>
    <t>WK-6</t>
  </si>
  <si>
    <t>4-5 long hills @ 5k/10k pace</t>
  </si>
  <si>
    <t>WK-7</t>
  </si>
  <si>
    <t>3xmile @ 5k/10k pace</t>
  </si>
  <si>
    <t>WK-8</t>
  </si>
  <si>
    <t>6x800 @ 5k/10k pace</t>
  </si>
  <si>
    <t>WK-9</t>
  </si>
  <si>
    <t>6-7 hills @ 5k/10k pace</t>
  </si>
  <si>
    <t>WK-10</t>
  </si>
  <si>
    <t>WK-11</t>
  </si>
  <si>
    <t>5-6 long hills @ 5k/10k pace</t>
  </si>
  <si>
    <t>WK-12</t>
  </si>
  <si>
    <t>4xmile @ 5k/10k pace</t>
  </si>
  <si>
    <t>10k race or 12</t>
  </si>
  <si>
    <t>WK-13</t>
  </si>
  <si>
    <t>4x800 @ 5k-10s pace</t>
  </si>
  <si>
    <t>WK-14</t>
  </si>
  <si>
    <t>6x800 @ 5k pace</t>
  </si>
  <si>
    <t>WK-15</t>
  </si>
  <si>
    <t>WK-16</t>
  </si>
  <si>
    <t>WK-17</t>
  </si>
  <si>
    <t>WK-18</t>
  </si>
  <si>
    <t>WK-19</t>
  </si>
  <si>
    <t>WK-20</t>
  </si>
  <si>
    <t>Begin Taper</t>
  </si>
  <si>
    <t>Race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</si>
</sst>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7.0"/>
      <color rgb="FFFFFFFF"/>
      <name val="Verdana"/>
    </font>
    <font>
      <name val="Arial"/>
    </font>
    <font>
      <b/>
      <sz val="7.0"/>
      <color rgb="FF00009D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B5B5B5"/>
        <bgColor rgb="FFB5B5B5"/>
      </patternFill>
    </fill>
    <fill>
      <patternFill patternType="solid">
        <fgColor rgb="FFE0E0E0"/>
        <bgColor rgb="FFE0E0E0"/>
      </patternFill>
    </fill>
    <fill>
      <patternFill patternType="solid">
        <fgColor rgb="FF00009D"/>
        <bgColor rgb="FF00009D"/>
      </patternFill>
    </fill>
  </fills>
  <borders count="4">
    <border/>
    <border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horizontal="center" shrinkToFit="0" vertical="bottom" wrapText="1"/>
    </xf>
    <xf borderId="3" fillId="3" fontId="1" numFmtId="0" xfId="0" applyAlignment="1" applyBorder="1" applyFill="1" applyFont="1">
      <alignment horizontal="center" vertical="bottom"/>
    </xf>
    <xf borderId="2" fillId="4" fontId="3" numFmtId="16" xfId="0" applyAlignment="1" applyBorder="1" applyFill="1" applyFont="1" applyNumberFormat="1">
      <alignment horizontal="center" shrinkToFit="0" vertical="bottom" wrapText="1"/>
    </xf>
    <xf borderId="3" fillId="4" fontId="3" numFmtId="0" xfId="0" applyAlignment="1" applyBorder="1" applyFill="1" applyFont="1">
      <alignment horizontal="center" shrinkToFit="0" vertical="bottom" wrapText="1"/>
    </xf>
    <xf borderId="3" fillId="5" fontId="3" numFmtId="0" xfId="0" applyAlignment="1" applyBorder="1" applyFill="1" applyFont="1">
      <alignment horizontal="center" shrinkToFit="0" vertical="bottom" wrapText="1"/>
    </xf>
    <xf borderId="3" fillId="5" fontId="3" numFmtId="0" xfId="0" applyAlignment="1" applyBorder="1" applyFill="1" applyFont="1">
      <alignment horizontal="center" vertical="bottom"/>
    </xf>
    <xf borderId="3" fillId="5" fontId="2" numFmtId="0" xfId="0" applyAlignment="1" applyBorder="1" applyFill="1" applyFont="1">
      <alignment vertical="bottom"/>
    </xf>
    <xf borderId="3" fillId="5" fontId="3" numFmtId="0" xfId="0" applyAlignment="1" applyBorder="1" applyFill="1" applyFont="1">
      <alignment horizontal="center" readingOrder="0" shrinkToFit="0" vertical="bottom" wrapText="1"/>
    </xf>
    <xf borderId="3" fillId="3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horizontal="center" shrinkToFit="0" vertical="bottom" wrapText="1"/>
    </xf>
    <xf borderId="3" fillId="6" fontId="1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3" fillId="3" fontId="1" numFmtId="0" xfId="0" applyAlignment="1" applyBorder="1" applyFill="1" applyFont="1">
      <alignment horizontal="center" readingOrder="0" shrinkToFit="0" vertical="bottom" wrapText="1"/>
    </xf>
    <xf borderId="3" fillId="6" fontId="1" numFmtId="0" xfId="0" applyAlignment="1" applyBorder="1" applyFill="1" applyFont="1">
      <alignment horizontal="center" readingOrder="0" shrinkToFit="0" vertical="bottom" wrapText="1"/>
    </xf>
    <xf borderId="2" fillId="4" fontId="3" numFmtId="16" xfId="0" applyAlignment="1" applyBorder="1" applyFill="1" applyFont="1" applyNumberForma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5.38"/>
    <col customWidth="1" min="3" max="3" width="8.63"/>
    <col customWidth="1" min="4" max="4" width="22.25"/>
  </cols>
  <sheetData>
    <row r="1">
      <c r="A1" s="1" t="s">
        <v>0</v>
      </c>
      <c r="B1" s="1"/>
      <c r="C1" s="1"/>
      <c r="D1" s="2" t="s">
        <v>1</v>
      </c>
    </row>
    <row r="2">
      <c r="A2" s="3"/>
      <c r="B2" s="4"/>
      <c r="C2" s="4" t="s">
        <v>2</v>
      </c>
      <c r="D2" s="5">
        <f>sum(C3:C9)</f>
        <v>31</v>
      </c>
    </row>
    <row r="3">
      <c r="A3" s="6">
        <f t="shared" ref="A3:A9" si="1">A11-7</f>
        <v>43255</v>
      </c>
      <c r="B3" s="7" t="s">
        <v>3</v>
      </c>
      <c r="C3" s="8">
        <v>4.0</v>
      </c>
      <c r="D3" s="9" t="s">
        <v>4</v>
      </c>
    </row>
    <row r="4">
      <c r="A4" s="6">
        <f t="shared" si="1"/>
        <v>43256</v>
      </c>
      <c r="B4" s="7" t="s">
        <v>5</v>
      </c>
      <c r="C4" s="8">
        <v>6.0</v>
      </c>
      <c r="D4" s="9" t="s">
        <v>6</v>
      </c>
    </row>
    <row r="5">
      <c r="A5" s="6">
        <f t="shared" si="1"/>
        <v>43257</v>
      </c>
      <c r="B5" s="7" t="s">
        <v>7</v>
      </c>
      <c r="C5" s="8">
        <v>4.0</v>
      </c>
      <c r="D5" s="9" t="s">
        <v>8</v>
      </c>
    </row>
    <row r="6">
      <c r="A6" s="6">
        <f t="shared" si="1"/>
        <v>43258</v>
      </c>
      <c r="B6" s="7" t="s">
        <v>9</v>
      </c>
      <c r="C6" s="8">
        <v>6.0</v>
      </c>
      <c r="D6" s="10"/>
    </row>
    <row r="7">
      <c r="A7" s="6">
        <f t="shared" si="1"/>
        <v>43259</v>
      </c>
      <c r="B7" s="7" t="s">
        <v>10</v>
      </c>
      <c r="C7" s="8">
        <v>3.0</v>
      </c>
      <c r="D7" s="10"/>
    </row>
    <row r="8">
      <c r="A8" s="6">
        <f t="shared" si="1"/>
        <v>43260</v>
      </c>
      <c r="B8" s="7" t="s">
        <v>11</v>
      </c>
      <c r="C8" s="11">
        <v>8.0</v>
      </c>
      <c r="D8" s="10"/>
    </row>
    <row r="9">
      <c r="A9" s="6">
        <f t="shared" si="1"/>
        <v>43261</v>
      </c>
      <c r="B9" s="7" t="s">
        <v>12</v>
      </c>
      <c r="C9" s="8"/>
      <c r="D9" s="10"/>
    </row>
    <row r="10">
      <c r="A10" s="3"/>
      <c r="B10" s="4" t="s">
        <v>13</v>
      </c>
      <c r="C10" s="4" t="s">
        <v>2</v>
      </c>
      <c r="D10" s="5">
        <f>sum(C11:C17)</f>
        <v>33</v>
      </c>
    </row>
    <row r="11">
      <c r="A11" s="6">
        <f t="shared" ref="A11:A17" si="2">A19-7</f>
        <v>43262</v>
      </c>
      <c r="B11" s="7" t="s">
        <v>3</v>
      </c>
      <c r="C11" s="8">
        <v>4.0</v>
      </c>
      <c r="D11" s="10"/>
    </row>
    <row r="12">
      <c r="A12" s="6">
        <f t="shared" si="2"/>
        <v>43263</v>
      </c>
      <c r="B12" s="7" t="s">
        <v>5</v>
      </c>
      <c r="C12" s="8">
        <v>6.0</v>
      </c>
      <c r="D12" s="10"/>
    </row>
    <row r="13">
      <c r="A13" s="6">
        <f t="shared" si="2"/>
        <v>43264</v>
      </c>
      <c r="B13" s="7" t="s">
        <v>7</v>
      </c>
      <c r="C13" s="8">
        <v>4.0</v>
      </c>
      <c r="D13" s="10"/>
    </row>
    <row r="14">
      <c r="A14" s="6">
        <f t="shared" si="2"/>
        <v>43265</v>
      </c>
      <c r="B14" s="7" t="s">
        <v>9</v>
      </c>
      <c r="C14" s="8">
        <v>6.0</v>
      </c>
      <c r="D14" s="10"/>
    </row>
    <row r="15">
      <c r="A15" s="6">
        <f t="shared" si="2"/>
        <v>43266</v>
      </c>
      <c r="B15" s="7" t="s">
        <v>10</v>
      </c>
      <c r="C15" s="8">
        <v>3.0</v>
      </c>
      <c r="D15" s="10"/>
    </row>
    <row r="16">
      <c r="A16" s="6">
        <f t="shared" si="2"/>
        <v>43267</v>
      </c>
      <c r="B16" s="7" t="s">
        <v>11</v>
      </c>
      <c r="C16" s="11">
        <v>10.0</v>
      </c>
      <c r="D16" s="10"/>
    </row>
    <row r="17">
      <c r="A17" s="6">
        <f t="shared" si="2"/>
        <v>43268</v>
      </c>
      <c r="B17" s="7" t="s">
        <v>12</v>
      </c>
      <c r="C17" s="8"/>
      <c r="D17" s="10"/>
    </row>
    <row r="18">
      <c r="A18" s="3"/>
      <c r="B18" s="4" t="s">
        <v>14</v>
      </c>
      <c r="C18" s="12"/>
      <c r="D18" s="5">
        <f>sum(C19:C25)</f>
        <v>33</v>
      </c>
    </row>
    <row r="19">
      <c r="A19" s="6">
        <f t="shared" ref="A19:A25" si="3">A27-7</f>
        <v>43269</v>
      </c>
      <c r="B19" s="7" t="s">
        <v>3</v>
      </c>
      <c r="C19" s="8">
        <v>5.0</v>
      </c>
      <c r="D19" s="9" t="s">
        <v>15</v>
      </c>
    </row>
    <row r="20">
      <c r="A20" s="6">
        <f t="shared" si="3"/>
        <v>43270</v>
      </c>
      <c r="B20" s="7" t="s">
        <v>5</v>
      </c>
      <c r="C20" s="8">
        <v>3.0</v>
      </c>
      <c r="D20" s="10"/>
    </row>
    <row r="21">
      <c r="A21" s="6">
        <f t="shared" si="3"/>
        <v>43271</v>
      </c>
      <c r="B21" s="7" t="s">
        <v>7</v>
      </c>
      <c r="C21" s="8">
        <v>5.0</v>
      </c>
      <c r="D21" s="10"/>
    </row>
    <row r="22">
      <c r="A22" s="6">
        <f t="shared" si="3"/>
        <v>43272</v>
      </c>
      <c r="B22" s="7" t="s">
        <v>9</v>
      </c>
      <c r="C22" s="8">
        <v>6.0</v>
      </c>
      <c r="D22" s="10"/>
    </row>
    <row r="23">
      <c r="A23" s="6">
        <f t="shared" si="3"/>
        <v>43273</v>
      </c>
      <c r="B23" s="7" t="s">
        <v>10</v>
      </c>
      <c r="C23" s="8">
        <v>3.0</v>
      </c>
      <c r="D23" s="10"/>
    </row>
    <row r="24">
      <c r="A24" s="6">
        <f t="shared" si="3"/>
        <v>43274</v>
      </c>
      <c r="B24" s="7" t="s">
        <v>11</v>
      </c>
      <c r="C24" s="11">
        <v>11.0</v>
      </c>
      <c r="D24" s="10"/>
    </row>
    <row r="25">
      <c r="A25" s="6">
        <f t="shared" si="3"/>
        <v>43275</v>
      </c>
      <c r="B25" s="7" t="s">
        <v>12</v>
      </c>
      <c r="C25" s="8"/>
      <c r="D25" s="10"/>
    </row>
    <row r="26">
      <c r="A26" s="3"/>
      <c r="B26" s="4" t="s">
        <v>16</v>
      </c>
      <c r="C26" s="12"/>
      <c r="D26" s="5">
        <f>sum(C27:C33)</f>
        <v>35</v>
      </c>
    </row>
    <row r="27">
      <c r="A27" s="6">
        <f t="shared" ref="A27:A33" si="4">A35-7</f>
        <v>43276</v>
      </c>
      <c r="B27" s="7" t="s">
        <v>3</v>
      </c>
      <c r="C27" s="11">
        <v>5.0</v>
      </c>
      <c r="D27" s="9" t="s">
        <v>17</v>
      </c>
    </row>
    <row r="28">
      <c r="A28" s="6">
        <f t="shared" si="4"/>
        <v>43277</v>
      </c>
      <c r="B28" s="7" t="s">
        <v>5</v>
      </c>
      <c r="C28" s="11">
        <v>3.0</v>
      </c>
      <c r="D28" s="10"/>
    </row>
    <row r="29">
      <c r="A29" s="6">
        <f t="shared" si="4"/>
        <v>43278</v>
      </c>
      <c r="B29" s="7" t="s">
        <v>7</v>
      </c>
      <c r="C29" s="11">
        <v>6.0</v>
      </c>
      <c r="D29" s="10"/>
    </row>
    <row r="30">
      <c r="A30" s="6">
        <f t="shared" si="4"/>
        <v>43279</v>
      </c>
      <c r="B30" s="7" t="s">
        <v>9</v>
      </c>
      <c r="C30" s="8">
        <v>6.0</v>
      </c>
      <c r="D30" s="10"/>
    </row>
    <row r="31">
      <c r="A31" s="6">
        <f t="shared" si="4"/>
        <v>43280</v>
      </c>
      <c r="B31" s="7" t="s">
        <v>10</v>
      </c>
      <c r="C31" s="11">
        <v>3.0</v>
      </c>
      <c r="D31" s="10"/>
    </row>
    <row r="32">
      <c r="A32" s="6">
        <f t="shared" si="4"/>
        <v>43281</v>
      </c>
      <c r="B32" s="7" t="s">
        <v>11</v>
      </c>
      <c r="C32" s="11">
        <v>12.0</v>
      </c>
      <c r="D32" s="10"/>
    </row>
    <row r="33">
      <c r="A33" s="6">
        <f t="shared" si="4"/>
        <v>43282</v>
      </c>
      <c r="B33" s="7" t="s">
        <v>12</v>
      </c>
      <c r="C33" s="8"/>
      <c r="D33" s="9"/>
    </row>
    <row r="34">
      <c r="A34" s="13"/>
      <c r="B34" s="14" t="s">
        <v>18</v>
      </c>
      <c r="C34" s="14"/>
      <c r="D34" s="15">
        <f>sum(C35:C41)</f>
        <v>29</v>
      </c>
    </row>
    <row r="35">
      <c r="A35" s="6">
        <f t="shared" ref="A35:A41" si="5">A43-7</f>
        <v>43283</v>
      </c>
      <c r="B35" s="7" t="s">
        <v>3</v>
      </c>
      <c r="C35" s="11">
        <v>5.0</v>
      </c>
      <c r="D35" s="9" t="s">
        <v>15</v>
      </c>
    </row>
    <row r="36">
      <c r="A36" s="6">
        <f t="shared" si="5"/>
        <v>43284</v>
      </c>
      <c r="B36" s="7" t="s">
        <v>5</v>
      </c>
      <c r="C36" s="11">
        <v>3.0</v>
      </c>
      <c r="D36" s="10"/>
    </row>
    <row r="37">
      <c r="A37" s="6">
        <f t="shared" si="5"/>
        <v>43285</v>
      </c>
      <c r="B37" s="7" t="s">
        <v>7</v>
      </c>
      <c r="C37" s="11">
        <v>6.0</v>
      </c>
      <c r="D37" s="10"/>
    </row>
    <row r="38">
      <c r="A38" s="6">
        <f t="shared" si="5"/>
        <v>43286</v>
      </c>
      <c r="B38" s="7" t="s">
        <v>9</v>
      </c>
      <c r="C38" s="11">
        <v>6.0</v>
      </c>
      <c r="D38" s="9"/>
    </row>
    <row r="39">
      <c r="A39" s="6">
        <f t="shared" si="5"/>
        <v>43287</v>
      </c>
      <c r="B39" s="7" t="s">
        <v>10</v>
      </c>
      <c r="C39" s="11">
        <v>3.0</v>
      </c>
      <c r="D39" s="10"/>
    </row>
    <row r="40">
      <c r="A40" s="6">
        <f t="shared" si="5"/>
        <v>43288</v>
      </c>
      <c r="B40" s="7" t="s">
        <v>11</v>
      </c>
      <c r="C40" s="8">
        <v>6.0</v>
      </c>
      <c r="D40" s="10"/>
    </row>
    <row r="41">
      <c r="A41" s="6">
        <f t="shared" si="5"/>
        <v>43289</v>
      </c>
      <c r="B41" s="7" t="s">
        <v>12</v>
      </c>
      <c r="C41" s="8"/>
      <c r="D41" s="10"/>
    </row>
    <row r="42">
      <c r="A42" s="3"/>
      <c r="B42" s="4" t="s">
        <v>19</v>
      </c>
      <c r="C42" s="12"/>
      <c r="D42" s="5">
        <f>sum(C43:C49)</f>
        <v>38</v>
      </c>
    </row>
    <row r="43">
      <c r="A43" s="6">
        <f t="shared" ref="A43:A49" si="6">A51-7</f>
        <v>43290</v>
      </c>
      <c r="B43" s="7" t="s">
        <v>3</v>
      </c>
      <c r="C43" s="11">
        <v>5.0</v>
      </c>
      <c r="D43" s="9" t="s">
        <v>20</v>
      </c>
    </row>
    <row r="44">
      <c r="A44" s="6">
        <f t="shared" si="6"/>
        <v>43291</v>
      </c>
      <c r="B44" s="7" t="s">
        <v>5</v>
      </c>
      <c r="C44" s="11">
        <v>4.0</v>
      </c>
      <c r="D44" s="10"/>
    </row>
    <row r="45">
      <c r="A45" s="6">
        <f t="shared" si="6"/>
        <v>43292</v>
      </c>
      <c r="B45" s="7" t="s">
        <v>7</v>
      </c>
      <c r="C45" s="11">
        <v>6.0</v>
      </c>
      <c r="D45" s="10"/>
    </row>
    <row r="46">
      <c r="A46" s="6">
        <f t="shared" si="6"/>
        <v>43293</v>
      </c>
      <c r="B46" s="7" t="s">
        <v>9</v>
      </c>
      <c r="C46" s="11">
        <v>6.0</v>
      </c>
      <c r="D46" s="9"/>
    </row>
    <row r="47">
      <c r="A47" s="6">
        <f t="shared" si="6"/>
        <v>43294</v>
      </c>
      <c r="B47" s="7" t="s">
        <v>10</v>
      </c>
      <c r="C47" s="11">
        <v>3.0</v>
      </c>
      <c r="D47" s="10"/>
    </row>
    <row r="48">
      <c r="A48" s="6">
        <f t="shared" si="6"/>
        <v>43295</v>
      </c>
      <c r="B48" s="7" t="s">
        <v>11</v>
      </c>
      <c r="C48" s="11">
        <v>14.0</v>
      </c>
      <c r="D48" s="10"/>
    </row>
    <row r="49">
      <c r="A49" s="6">
        <f t="shared" si="6"/>
        <v>43296</v>
      </c>
      <c r="B49" s="7" t="s">
        <v>12</v>
      </c>
      <c r="C49" s="8"/>
      <c r="D49" s="10"/>
    </row>
    <row r="50">
      <c r="A50" s="3"/>
      <c r="B50" s="4" t="s">
        <v>21</v>
      </c>
      <c r="C50" s="12"/>
      <c r="D50" s="5">
        <f>sum(C51:C57)</f>
        <v>35</v>
      </c>
    </row>
    <row r="51">
      <c r="A51" s="6">
        <f t="shared" ref="A51:A57" si="7">A59-7</f>
        <v>43297</v>
      </c>
      <c r="B51" s="7" t="s">
        <v>3</v>
      </c>
      <c r="C51" s="11">
        <v>5.0</v>
      </c>
      <c r="D51" s="9" t="s">
        <v>22</v>
      </c>
    </row>
    <row r="52">
      <c r="A52" s="6">
        <f t="shared" si="7"/>
        <v>43298</v>
      </c>
      <c r="B52" s="7" t="s">
        <v>5</v>
      </c>
      <c r="C52" s="11">
        <v>4.0</v>
      </c>
      <c r="D52" s="10"/>
    </row>
    <row r="53">
      <c r="A53" s="6">
        <f t="shared" si="7"/>
        <v>43299</v>
      </c>
      <c r="B53" s="7" t="s">
        <v>7</v>
      </c>
      <c r="C53" s="11">
        <v>7.0</v>
      </c>
      <c r="D53" s="10"/>
    </row>
    <row r="54">
      <c r="A54" s="6">
        <f t="shared" si="7"/>
        <v>43300</v>
      </c>
      <c r="B54" s="7" t="s">
        <v>9</v>
      </c>
      <c r="C54" s="11">
        <v>7.0</v>
      </c>
      <c r="D54" s="9"/>
    </row>
    <row r="55">
      <c r="A55" s="6">
        <f t="shared" si="7"/>
        <v>43301</v>
      </c>
      <c r="B55" s="7" t="s">
        <v>10</v>
      </c>
      <c r="C55" s="11">
        <v>4.0</v>
      </c>
      <c r="D55" s="10"/>
    </row>
    <row r="56">
      <c r="A56" s="6">
        <f t="shared" si="7"/>
        <v>43302</v>
      </c>
      <c r="B56" s="7" t="s">
        <v>11</v>
      </c>
      <c r="C56" s="11">
        <v>8.0</v>
      </c>
      <c r="D56" s="10"/>
    </row>
    <row r="57">
      <c r="A57" s="6">
        <f t="shared" si="7"/>
        <v>43303</v>
      </c>
      <c r="B57" s="7" t="s">
        <v>12</v>
      </c>
      <c r="C57" s="8"/>
      <c r="D57" s="10"/>
    </row>
    <row r="58">
      <c r="A58" s="3"/>
      <c r="B58" s="4" t="s">
        <v>23</v>
      </c>
      <c r="C58" s="12"/>
      <c r="D58" s="5">
        <f>sum(C59:C65)</f>
        <v>42</v>
      </c>
    </row>
    <row r="59">
      <c r="A59" s="6">
        <f t="shared" ref="A59:A65" si="8">A67-7</f>
        <v>43304</v>
      </c>
      <c r="B59" s="7" t="s">
        <v>3</v>
      </c>
      <c r="C59" s="11">
        <v>5.0</v>
      </c>
      <c r="D59" s="9" t="s">
        <v>24</v>
      </c>
    </row>
    <row r="60">
      <c r="A60" s="6">
        <f t="shared" si="8"/>
        <v>43305</v>
      </c>
      <c r="B60" s="7" t="s">
        <v>5</v>
      </c>
      <c r="C60" s="11">
        <v>4.0</v>
      </c>
      <c r="D60" s="10"/>
    </row>
    <row r="61">
      <c r="A61" s="6">
        <f t="shared" si="8"/>
        <v>43306</v>
      </c>
      <c r="B61" s="7" t="s">
        <v>7</v>
      </c>
      <c r="C61" s="11">
        <v>7.0</v>
      </c>
      <c r="D61" s="10"/>
    </row>
    <row r="62">
      <c r="A62" s="6">
        <f t="shared" si="8"/>
        <v>43307</v>
      </c>
      <c r="B62" s="7" t="s">
        <v>9</v>
      </c>
      <c r="C62" s="11">
        <v>7.0</v>
      </c>
      <c r="D62" s="9"/>
    </row>
    <row r="63">
      <c r="A63" s="6">
        <f t="shared" si="8"/>
        <v>43308</v>
      </c>
      <c r="B63" s="7" t="s">
        <v>10</v>
      </c>
      <c r="C63" s="11">
        <v>3.0</v>
      </c>
      <c r="D63" s="10"/>
    </row>
    <row r="64">
      <c r="A64" s="6">
        <f t="shared" si="8"/>
        <v>43309</v>
      </c>
      <c r="B64" s="7" t="s">
        <v>11</v>
      </c>
      <c r="C64" s="11">
        <v>16.0</v>
      </c>
      <c r="D64" s="10"/>
    </row>
    <row r="65">
      <c r="A65" s="6">
        <f t="shared" si="8"/>
        <v>43310</v>
      </c>
      <c r="B65" s="7" t="s">
        <v>12</v>
      </c>
      <c r="C65" s="8"/>
      <c r="D65" s="10"/>
    </row>
    <row r="66">
      <c r="A66" s="13"/>
      <c r="B66" s="14" t="s">
        <v>25</v>
      </c>
      <c r="C66" s="14"/>
      <c r="D66" s="15">
        <f>sum(C67:C73)</f>
        <v>37</v>
      </c>
    </row>
    <row r="67">
      <c r="A67" s="6">
        <f t="shared" ref="A67:A73" si="9">A75-7</f>
        <v>43311</v>
      </c>
      <c r="B67" s="7" t="s">
        <v>3</v>
      </c>
      <c r="C67" s="11">
        <v>5.0</v>
      </c>
      <c r="D67" s="16" t="s">
        <v>26</v>
      </c>
    </row>
    <row r="68">
      <c r="A68" s="6">
        <f t="shared" si="9"/>
        <v>43312</v>
      </c>
      <c r="B68" s="7" t="s">
        <v>5</v>
      </c>
      <c r="C68" s="11">
        <v>5.0</v>
      </c>
      <c r="D68" s="10"/>
    </row>
    <row r="69">
      <c r="A69" s="6">
        <f t="shared" si="9"/>
        <v>43313</v>
      </c>
      <c r="B69" s="7" t="s">
        <v>7</v>
      </c>
      <c r="C69" s="11">
        <v>7.0</v>
      </c>
      <c r="D69" s="10"/>
    </row>
    <row r="70">
      <c r="A70" s="6">
        <f t="shared" si="9"/>
        <v>43314</v>
      </c>
      <c r="B70" s="7" t="s">
        <v>9</v>
      </c>
      <c r="C70" s="11">
        <v>7.0</v>
      </c>
      <c r="D70" s="9"/>
    </row>
    <row r="71">
      <c r="A71" s="6">
        <f t="shared" si="9"/>
        <v>43315</v>
      </c>
      <c r="B71" s="7" t="s">
        <v>10</v>
      </c>
      <c r="C71" s="11">
        <v>4.0</v>
      </c>
      <c r="D71" s="10"/>
    </row>
    <row r="72">
      <c r="A72" s="6">
        <f t="shared" si="9"/>
        <v>43316</v>
      </c>
      <c r="B72" s="7" t="s">
        <v>11</v>
      </c>
      <c r="C72" s="11">
        <v>9.0</v>
      </c>
      <c r="D72" s="10"/>
    </row>
    <row r="73">
      <c r="A73" s="6">
        <f t="shared" si="9"/>
        <v>43317</v>
      </c>
      <c r="B73" s="7" t="s">
        <v>12</v>
      </c>
      <c r="C73" s="8"/>
      <c r="D73" s="10"/>
    </row>
    <row r="74">
      <c r="A74" s="3"/>
      <c r="B74" s="4" t="s">
        <v>27</v>
      </c>
      <c r="C74" s="12"/>
      <c r="D74" s="5">
        <f>sum(C75:C81)</f>
        <v>45</v>
      </c>
    </row>
    <row r="75">
      <c r="A75" s="6">
        <f t="shared" ref="A75:A81" si="10">A83-7</f>
        <v>43318</v>
      </c>
      <c r="B75" s="7" t="s">
        <v>3</v>
      </c>
      <c r="C75" s="11">
        <v>5.0</v>
      </c>
      <c r="D75" s="16" t="s">
        <v>28</v>
      </c>
    </row>
    <row r="76">
      <c r="A76" s="6">
        <f t="shared" si="10"/>
        <v>43319</v>
      </c>
      <c r="B76" s="7" t="s">
        <v>5</v>
      </c>
      <c r="C76" s="11">
        <v>4.0</v>
      </c>
      <c r="D76" s="10"/>
    </row>
    <row r="77">
      <c r="A77" s="6">
        <f t="shared" si="10"/>
        <v>43320</v>
      </c>
      <c r="B77" s="7" t="s">
        <v>7</v>
      </c>
      <c r="C77" s="11">
        <v>7.0</v>
      </c>
      <c r="D77" s="10"/>
    </row>
    <row r="78">
      <c r="A78" s="6">
        <f t="shared" si="10"/>
        <v>43321</v>
      </c>
      <c r="B78" s="7" t="s">
        <v>9</v>
      </c>
      <c r="C78" s="11">
        <v>7.0</v>
      </c>
      <c r="D78" s="9"/>
    </row>
    <row r="79">
      <c r="A79" s="6">
        <f t="shared" si="10"/>
        <v>43322</v>
      </c>
      <c r="B79" s="7" t="s">
        <v>10</v>
      </c>
      <c r="C79" s="11">
        <v>4.0</v>
      </c>
      <c r="D79" s="10"/>
    </row>
    <row r="80">
      <c r="A80" s="6">
        <f t="shared" si="10"/>
        <v>43323</v>
      </c>
      <c r="B80" s="7" t="s">
        <v>11</v>
      </c>
      <c r="C80" s="11">
        <v>18.0</v>
      </c>
      <c r="D80" s="10"/>
    </row>
    <row r="81">
      <c r="A81" s="6">
        <f t="shared" si="10"/>
        <v>43324</v>
      </c>
      <c r="B81" s="7" t="s">
        <v>12</v>
      </c>
      <c r="C81" s="8"/>
      <c r="D81" s="10"/>
    </row>
    <row r="82">
      <c r="A82" s="3"/>
      <c r="B82" s="4" t="s">
        <v>29</v>
      </c>
      <c r="C82" s="12"/>
      <c r="D82" s="5">
        <f>sum(C83:C89)</f>
        <v>41</v>
      </c>
    </row>
    <row r="83">
      <c r="A83" s="6">
        <f t="shared" ref="A83:A89" si="11">A91-7</f>
        <v>43325</v>
      </c>
      <c r="B83" s="7" t="s">
        <v>3</v>
      </c>
      <c r="C83" s="11">
        <v>5.0</v>
      </c>
      <c r="D83" s="16" t="s">
        <v>26</v>
      </c>
    </row>
    <row r="84">
      <c r="A84" s="6">
        <f t="shared" si="11"/>
        <v>43326</v>
      </c>
      <c r="B84" s="7" t="s">
        <v>5</v>
      </c>
      <c r="C84" s="11">
        <v>5.0</v>
      </c>
      <c r="D84" s="10"/>
    </row>
    <row r="85">
      <c r="A85" s="6">
        <f t="shared" si="11"/>
        <v>43327</v>
      </c>
      <c r="B85" s="7" t="s">
        <v>7</v>
      </c>
      <c r="C85" s="11">
        <v>8.0</v>
      </c>
      <c r="D85" s="10"/>
    </row>
    <row r="86">
      <c r="A86" s="6">
        <f t="shared" si="11"/>
        <v>43328</v>
      </c>
      <c r="B86" s="7" t="s">
        <v>9</v>
      </c>
      <c r="C86" s="11">
        <v>8.0</v>
      </c>
      <c r="D86" s="9"/>
    </row>
    <row r="87">
      <c r="A87" s="6">
        <f t="shared" si="11"/>
        <v>43329</v>
      </c>
      <c r="B87" s="7" t="s">
        <v>10</v>
      </c>
      <c r="C87" s="11">
        <v>5.0</v>
      </c>
      <c r="D87" s="10"/>
    </row>
    <row r="88">
      <c r="A88" s="6">
        <f t="shared" si="11"/>
        <v>43330</v>
      </c>
      <c r="B88" s="7" t="s">
        <v>11</v>
      </c>
      <c r="C88" s="11">
        <v>10.0</v>
      </c>
      <c r="D88" s="10"/>
    </row>
    <row r="89">
      <c r="A89" s="6">
        <f t="shared" si="11"/>
        <v>43331</v>
      </c>
      <c r="B89" s="7" t="s">
        <v>12</v>
      </c>
      <c r="C89" s="8"/>
      <c r="D89" s="10"/>
    </row>
    <row r="90">
      <c r="A90" s="3"/>
      <c r="B90" s="4" t="s">
        <v>30</v>
      </c>
      <c r="C90" s="12"/>
      <c r="D90" s="5">
        <f>sum(C91:C97)</f>
        <v>49</v>
      </c>
    </row>
    <row r="91">
      <c r="A91" s="6">
        <f t="shared" ref="A91:A97" si="12">A99-7</f>
        <v>43332</v>
      </c>
      <c r="B91" s="7" t="s">
        <v>3</v>
      </c>
      <c r="C91" s="11">
        <v>5.0</v>
      </c>
      <c r="D91" s="16" t="s">
        <v>31</v>
      </c>
    </row>
    <row r="92">
      <c r="A92" s="6">
        <f t="shared" si="12"/>
        <v>43333</v>
      </c>
      <c r="B92" s="7" t="s">
        <v>5</v>
      </c>
      <c r="C92" s="11">
        <v>5.0</v>
      </c>
      <c r="D92" s="10"/>
    </row>
    <row r="93">
      <c r="A93" s="6">
        <f t="shared" si="12"/>
        <v>43334</v>
      </c>
      <c r="B93" s="7" t="s">
        <v>7</v>
      </c>
      <c r="C93" s="11">
        <v>8.0</v>
      </c>
      <c r="D93" s="10"/>
    </row>
    <row r="94">
      <c r="A94" s="6">
        <f t="shared" si="12"/>
        <v>43335</v>
      </c>
      <c r="B94" s="7" t="s">
        <v>9</v>
      </c>
      <c r="C94" s="11">
        <v>7.0</v>
      </c>
      <c r="D94" s="9"/>
    </row>
    <row r="95">
      <c r="A95" s="6">
        <f t="shared" si="12"/>
        <v>43336</v>
      </c>
      <c r="B95" s="7" t="s">
        <v>10</v>
      </c>
      <c r="C95" s="11">
        <v>4.0</v>
      </c>
      <c r="D95" s="10"/>
    </row>
    <row r="96">
      <c r="A96" s="6">
        <f t="shared" si="12"/>
        <v>43337</v>
      </c>
      <c r="B96" s="7" t="s">
        <v>11</v>
      </c>
      <c r="C96" s="11">
        <v>20.0</v>
      </c>
      <c r="D96" s="10"/>
    </row>
    <row r="97">
      <c r="A97" s="6">
        <f t="shared" si="12"/>
        <v>43338</v>
      </c>
      <c r="B97" s="7" t="s">
        <v>12</v>
      </c>
      <c r="C97" s="8"/>
      <c r="D97" s="10"/>
    </row>
    <row r="98">
      <c r="A98" s="13"/>
      <c r="B98" s="14" t="s">
        <v>32</v>
      </c>
      <c r="C98" s="14"/>
      <c r="D98" s="15">
        <f>sum(C99:C105)</f>
        <v>36</v>
      </c>
    </row>
    <row r="99">
      <c r="A99" s="6">
        <f t="shared" ref="A99:A104" si="13">A100-1</f>
        <v>43339</v>
      </c>
      <c r="B99" s="7" t="s">
        <v>3</v>
      </c>
      <c r="C99" s="11">
        <v>6.0</v>
      </c>
      <c r="D99" s="9" t="s">
        <v>33</v>
      </c>
    </row>
    <row r="100">
      <c r="A100" s="6">
        <f t="shared" si="13"/>
        <v>43340</v>
      </c>
      <c r="B100" s="7" t="s">
        <v>5</v>
      </c>
      <c r="C100" s="11">
        <v>4.0</v>
      </c>
      <c r="D100" s="10"/>
    </row>
    <row r="101">
      <c r="A101" s="6">
        <f t="shared" si="13"/>
        <v>43341</v>
      </c>
      <c r="B101" s="7" t="s">
        <v>7</v>
      </c>
      <c r="C101" s="11">
        <v>8.0</v>
      </c>
      <c r="D101" s="10"/>
    </row>
    <row r="102">
      <c r="A102" s="6">
        <f t="shared" si="13"/>
        <v>43342</v>
      </c>
      <c r="B102" s="7" t="s">
        <v>9</v>
      </c>
      <c r="C102" s="11">
        <v>8.0</v>
      </c>
      <c r="D102" s="10"/>
    </row>
    <row r="103">
      <c r="A103" s="6">
        <f t="shared" si="13"/>
        <v>43343</v>
      </c>
      <c r="B103" s="7" t="s">
        <v>10</v>
      </c>
      <c r="C103" s="11">
        <v>3.0</v>
      </c>
      <c r="D103" s="10"/>
    </row>
    <row r="104">
      <c r="A104" s="6">
        <f t="shared" si="13"/>
        <v>43344</v>
      </c>
      <c r="B104" s="7" t="s">
        <v>11</v>
      </c>
      <c r="C104" s="11">
        <v>7.0</v>
      </c>
      <c r="D104" s="16" t="s">
        <v>34</v>
      </c>
    </row>
    <row r="105">
      <c r="A105" s="6">
        <f>A113-7</f>
        <v>43345</v>
      </c>
      <c r="B105" s="7" t="s">
        <v>12</v>
      </c>
      <c r="C105" s="8"/>
      <c r="D105" s="10"/>
    </row>
    <row r="106">
      <c r="A106" s="3"/>
      <c r="B106" s="17" t="s">
        <v>35</v>
      </c>
      <c r="C106" s="12"/>
      <c r="D106" s="5">
        <f>sum(C107:C113)</f>
        <v>45</v>
      </c>
    </row>
    <row r="107">
      <c r="A107" s="6">
        <f t="shared" ref="A107:A113" si="14">A115-7</f>
        <v>43346</v>
      </c>
      <c r="B107" s="7" t="s">
        <v>3</v>
      </c>
      <c r="C107" s="11">
        <v>4.0</v>
      </c>
      <c r="D107" s="9" t="s">
        <v>36</v>
      </c>
    </row>
    <row r="108">
      <c r="A108" s="6">
        <f t="shared" si="14"/>
        <v>43347</v>
      </c>
      <c r="B108" s="7" t="s">
        <v>5</v>
      </c>
      <c r="C108" s="11">
        <v>4.0</v>
      </c>
      <c r="D108" s="10"/>
    </row>
    <row r="109">
      <c r="A109" s="6">
        <f t="shared" si="14"/>
        <v>43348</v>
      </c>
      <c r="B109" s="7" t="s">
        <v>7</v>
      </c>
      <c r="C109" s="11">
        <v>6.0</v>
      </c>
      <c r="D109" s="10"/>
    </row>
    <row r="110">
      <c r="A110" s="6">
        <f t="shared" si="14"/>
        <v>43349</v>
      </c>
      <c r="B110" s="7" t="s">
        <v>9</v>
      </c>
      <c r="C110" s="11">
        <v>6.0</v>
      </c>
      <c r="D110" s="9"/>
    </row>
    <row r="111">
      <c r="A111" s="6">
        <f t="shared" si="14"/>
        <v>43350</v>
      </c>
      <c r="B111" s="7" t="s">
        <v>10</v>
      </c>
      <c r="C111" s="11">
        <v>3.0</v>
      </c>
      <c r="D111" s="10"/>
    </row>
    <row r="112">
      <c r="A112" s="6">
        <f t="shared" si="14"/>
        <v>43351</v>
      </c>
      <c r="B112" s="7" t="s">
        <v>11</v>
      </c>
      <c r="C112" s="11">
        <v>22.0</v>
      </c>
      <c r="D112" s="10"/>
    </row>
    <row r="113">
      <c r="A113" s="6">
        <f t="shared" si="14"/>
        <v>43352</v>
      </c>
      <c r="B113" s="7" t="s">
        <v>12</v>
      </c>
      <c r="C113" s="8"/>
      <c r="D113" s="10"/>
    </row>
    <row r="114">
      <c r="A114" s="3"/>
      <c r="B114" s="17" t="s">
        <v>37</v>
      </c>
      <c r="C114" s="12"/>
      <c r="D114" s="5">
        <f>sum(C115:C121)</f>
        <v>32</v>
      </c>
    </row>
    <row r="115">
      <c r="A115" s="6">
        <f t="shared" ref="A115:A121" si="15">A123-7</f>
        <v>43353</v>
      </c>
      <c r="B115" s="7" t="s">
        <v>3</v>
      </c>
      <c r="C115" s="11">
        <v>5.0</v>
      </c>
      <c r="D115" s="16" t="s">
        <v>38</v>
      </c>
    </row>
    <row r="116">
      <c r="A116" s="6">
        <f t="shared" si="15"/>
        <v>43354</v>
      </c>
      <c r="B116" s="7" t="s">
        <v>5</v>
      </c>
      <c r="C116" s="11">
        <v>3.0</v>
      </c>
      <c r="D116" s="10"/>
    </row>
    <row r="117">
      <c r="A117" s="6">
        <f t="shared" si="15"/>
        <v>43355</v>
      </c>
      <c r="B117" s="7" t="s">
        <v>7</v>
      </c>
      <c r="C117" s="11">
        <v>8.0</v>
      </c>
      <c r="D117" s="10"/>
    </row>
    <row r="118">
      <c r="A118" s="6">
        <f t="shared" si="15"/>
        <v>43356</v>
      </c>
      <c r="B118" s="7" t="s">
        <v>9</v>
      </c>
      <c r="C118" s="11">
        <v>6.0</v>
      </c>
      <c r="D118" s="9"/>
    </row>
    <row r="119">
      <c r="A119" s="6">
        <f t="shared" si="15"/>
        <v>43357</v>
      </c>
      <c r="B119" s="7" t="s">
        <v>10</v>
      </c>
      <c r="C119" s="11">
        <v>3.0</v>
      </c>
      <c r="D119" s="10"/>
    </row>
    <row r="120">
      <c r="A120" s="6">
        <f t="shared" si="15"/>
        <v>43358</v>
      </c>
      <c r="B120" s="7" t="s">
        <v>11</v>
      </c>
      <c r="C120" s="11">
        <v>7.0</v>
      </c>
      <c r="D120" s="16" t="s">
        <v>34</v>
      </c>
    </row>
    <row r="121">
      <c r="A121" s="6">
        <f t="shared" si="15"/>
        <v>43359</v>
      </c>
      <c r="B121" s="7" t="s">
        <v>12</v>
      </c>
      <c r="C121" s="8"/>
      <c r="D121" s="10"/>
    </row>
    <row r="122">
      <c r="A122" s="3"/>
      <c r="B122" s="17" t="s">
        <v>39</v>
      </c>
      <c r="C122" s="12"/>
      <c r="D122" s="5">
        <f>sum(C123:C129)</f>
        <v>46</v>
      </c>
    </row>
    <row r="123">
      <c r="A123" s="6">
        <f t="shared" ref="A123:A129" si="16">A131-7</f>
        <v>43360</v>
      </c>
      <c r="B123" s="7" t="s">
        <v>3</v>
      </c>
      <c r="C123" s="11">
        <v>6.0</v>
      </c>
      <c r="D123" s="9" t="s">
        <v>33</v>
      </c>
    </row>
    <row r="124">
      <c r="A124" s="6">
        <f t="shared" si="16"/>
        <v>43361</v>
      </c>
      <c r="B124" s="7" t="s">
        <v>5</v>
      </c>
      <c r="C124" s="11">
        <v>3.0</v>
      </c>
      <c r="D124" s="10"/>
    </row>
    <row r="125">
      <c r="A125" s="6">
        <f t="shared" si="16"/>
        <v>43362</v>
      </c>
      <c r="B125" s="7" t="s">
        <v>7</v>
      </c>
      <c r="C125" s="11">
        <v>5.0</v>
      </c>
      <c r="D125" s="10"/>
    </row>
    <row r="126">
      <c r="A126" s="6">
        <f t="shared" si="16"/>
        <v>43363</v>
      </c>
      <c r="B126" s="7" t="s">
        <v>9</v>
      </c>
      <c r="C126" s="11">
        <v>5.0</v>
      </c>
      <c r="D126" s="9"/>
    </row>
    <row r="127">
      <c r="A127" s="6">
        <f t="shared" si="16"/>
        <v>43364</v>
      </c>
      <c r="B127" s="7" t="s">
        <v>10</v>
      </c>
      <c r="C127" s="11">
        <v>3.0</v>
      </c>
      <c r="D127" s="10"/>
    </row>
    <row r="128">
      <c r="A128" s="6">
        <f t="shared" si="16"/>
        <v>43365</v>
      </c>
      <c r="B128" s="7" t="s">
        <v>11</v>
      </c>
      <c r="C128" s="11">
        <v>24.0</v>
      </c>
      <c r="D128" s="10"/>
    </row>
    <row r="129">
      <c r="A129" s="6">
        <f t="shared" si="16"/>
        <v>43366</v>
      </c>
      <c r="B129" s="7" t="s">
        <v>12</v>
      </c>
      <c r="C129" s="8"/>
      <c r="D129" s="10"/>
    </row>
    <row r="130">
      <c r="A130" s="13"/>
      <c r="B130" s="18" t="s">
        <v>40</v>
      </c>
      <c r="C130" s="14"/>
      <c r="D130" s="15">
        <f>sum(C131:C137)</f>
        <v>35</v>
      </c>
    </row>
    <row r="131">
      <c r="A131" s="6">
        <f t="shared" ref="A131:A136" si="17">A132-1</f>
        <v>43367</v>
      </c>
      <c r="B131" s="7" t="s">
        <v>3</v>
      </c>
      <c r="C131" s="11">
        <v>6.0</v>
      </c>
      <c r="D131" s="10"/>
    </row>
    <row r="132">
      <c r="A132" s="6">
        <f t="shared" si="17"/>
        <v>43368</v>
      </c>
      <c r="B132" s="7" t="s">
        <v>5</v>
      </c>
      <c r="C132" s="11">
        <v>4.0</v>
      </c>
      <c r="D132" s="10"/>
    </row>
    <row r="133">
      <c r="A133" s="6">
        <f t="shared" si="17"/>
        <v>43369</v>
      </c>
      <c r="B133" s="7" t="s">
        <v>7</v>
      </c>
      <c r="C133" s="11">
        <v>8.0</v>
      </c>
      <c r="D133" s="10"/>
    </row>
    <row r="134">
      <c r="A134" s="6">
        <f t="shared" si="17"/>
        <v>43370</v>
      </c>
      <c r="B134" s="7" t="s">
        <v>9</v>
      </c>
      <c r="C134" s="11">
        <v>6.0</v>
      </c>
      <c r="D134" s="10"/>
    </row>
    <row r="135">
      <c r="A135" s="6">
        <f t="shared" si="17"/>
        <v>43371</v>
      </c>
      <c r="B135" s="7" t="s">
        <v>10</v>
      </c>
      <c r="C135" s="11">
        <v>4.0</v>
      </c>
      <c r="D135" s="10"/>
    </row>
    <row r="136">
      <c r="A136" s="6">
        <f t="shared" si="17"/>
        <v>43372</v>
      </c>
      <c r="B136" s="7" t="s">
        <v>11</v>
      </c>
      <c r="C136" s="11">
        <v>7.0</v>
      </c>
      <c r="D136" s="16" t="s">
        <v>34</v>
      </c>
    </row>
    <row r="137">
      <c r="A137" s="6">
        <f>A145-7</f>
        <v>43373</v>
      </c>
      <c r="B137" s="7" t="s">
        <v>12</v>
      </c>
      <c r="C137" s="8"/>
      <c r="D137" s="10"/>
    </row>
    <row r="138">
      <c r="A138" s="3"/>
      <c r="B138" s="17" t="s">
        <v>41</v>
      </c>
      <c r="C138" s="12"/>
      <c r="D138" s="5">
        <f>sum(C139:C145)</f>
        <v>42</v>
      </c>
    </row>
    <row r="139">
      <c r="A139" s="6">
        <f t="shared" ref="A139:A145" si="18">A147-7</f>
        <v>43374</v>
      </c>
      <c r="B139" s="7" t="s">
        <v>3</v>
      </c>
      <c r="C139" s="11">
        <v>5.0</v>
      </c>
      <c r="D139" s="16" t="s">
        <v>38</v>
      </c>
    </row>
    <row r="140">
      <c r="A140" s="6">
        <f t="shared" si="18"/>
        <v>43375</v>
      </c>
      <c r="B140" s="7" t="s">
        <v>5</v>
      </c>
      <c r="C140" s="11">
        <v>3.0</v>
      </c>
      <c r="D140" s="10"/>
    </row>
    <row r="141">
      <c r="A141" s="6">
        <f t="shared" si="18"/>
        <v>43376</v>
      </c>
      <c r="B141" s="7" t="s">
        <v>7</v>
      </c>
      <c r="C141" s="11">
        <v>5.0</v>
      </c>
      <c r="D141" s="10"/>
    </row>
    <row r="142">
      <c r="A142" s="6">
        <f t="shared" si="18"/>
        <v>43377</v>
      </c>
      <c r="B142" s="7" t="s">
        <v>9</v>
      </c>
      <c r="C142" s="8"/>
      <c r="D142" s="9"/>
    </row>
    <row r="143">
      <c r="A143" s="6">
        <f t="shared" si="18"/>
        <v>43378</v>
      </c>
      <c r="B143" s="7" t="s">
        <v>10</v>
      </c>
      <c r="C143" s="11">
        <v>3.0</v>
      </c>
      <c r="D143" s="10"/>
    </row>
    <row r="144">
      <c r="A144" s="6">
        <f t="shared" si="18"/>
        <v>43379</v>
      </c>
      <c r="B144" s="7" t="s">
        <v>11</v>
      </c>
      <c r="C144" s="11">
        <v>26.0</v>
      </c>
      <c r="D144" s="10"/>
    </row>
    <row r="145">
      <c r="A145" s="6">
        <f t="shared" si="18"/>
        <v>43380</v>
      </c>
      <c r="B145" s="7" t="s">
        <v>12</v>
      </c>
      <c r="C145" s="8"/>
      <c r="D145" s="10"/>
    </row>
    <row r="146">
      <c r="A146" s="3"/>
      <c r="B146" s="17" t="s">
        <v>42</v>
      </c>
      <c r="C146" s="12"/>
      <c r="D146" s="5">
        <f>sum(C147:C153)</f>
        <v>35</v>
      </c>
    </row>
    <row r="147">
      <c r="A147" s="6">
        <f t="shared" ref="A147:A153" si="19">A155-7</f>
        <v>43381</v>
      </c>
      <c r="B147" s="7" t="s">
        <v>3</v>
      </c>
      <c r="C147" s="11">
        <v>5.0</v>
      </c>
      <c r="D147" s="16" t="s">
        <v>15</v>
      </c>
    </row>
    <row r="148">
      <c r="A148" s="6">
        <f t="shared" si="19"/>
        <v>43382</v>
      </c>
      <c r="B148" s="7" t="s">
        <v>5</v>
      </c>
      <c r="C148" s="11">
        <v>3.0</v>
      </c>
      <c r="D148" s="10"/>
    </row>
    <row r="149">
      <c r="A149" s="6">
        <f t="shared" si="19"/>
        <v>43383</v>
      </c>
      <c r="B149" s="7" t="s">
        <v>7</v>
      </c>
      <c r="C149" s="11">
        <v>6.0</v>
      </c>
      <c r="D149" s="10"/>
    </row>
    <row r="150">
      <c r="A150" s="6">
        <f t="shared" si="19"/>
        <v>43384</v>
      </c>
      <c r="B150" s="7" t="s">
        <v>9</v>
      </c>
      <c r="C150" s="11">
        <v>6.0</v>
      </c>
      <c r="D150" s="9"/>
    </row>
    <row r="151">
      <c r="A151" s="6">
        <f t="shared" si="19"/>
        <v>43385</v>
      </c>
      <c r="B151" s="7" t="s">
        <v>10</v>
      </c>
      <c r="C151" s="11">
        <v>3.0</v>
      </c>
      <c r="D151" s="10"/>
    </row>
    <row r="152">
      <c r="A152" s="6">
        <f t="shared" si="19"/>
        <v>43386</v>
      </c>
      <c r="B152" s="7" t="s">
        <v>11</v>
      </c>
      <c r="C152" s="11">
        <v>12.0</v>
      </c>
      <c r="D152" s="10"/>
    </row>
    <row r="153">
      <c r="A153" s="6">
        <f t="shared" si="19"/>
        <v>43387</v>
      </c>
      <c r="B153" s="7" t="s">
        <v>12</v>
      </c>
      <c r="C153" s="8"/>
      <c r="D153" s="10"/>
    </row>
    <row r="154">
      <c r="A154" s="3"/>
      <c r="B154" s="17" t="s">
        <v>43</v>
      </c>
      <c r="C154" s="12"/>
      <c r="D154" s="5">
        <f>sum(C155:C161)</f>
        <v>30</v>
      </c>
    </row>
    <row r="155">
      <c r="A155" s="6">
        <f t="shared" ref="A155:A161" si="20">A163-7</f>
        <v>43388</v>
      </c>
      <c r="B155" s="7" t="s">
        <v>3</v>
      </c>
      <c r="C155" s="11">
        <v>4.0</v>
      </c>
      <c r="D155" s="10"/>
    </row>
    <row r="156">
      <c r="A156" s="6">
        <f t="shared" si="20"/>
        <v>43389</v>
      </c>
      <c r="B156" s="7" t="s">
        <v>5</v>
      </c>
      <c r="C156" s="11">
        <v>3.0</v>
      </c>
      <c r="D156" s="10"/>
    </row>
    <row r="157">
      <c r="A157" s="6">
        <f t="shared" si="20"/>
        <v>43390</v>
      </c>
      <c r="B157" s="7" t="s">
        <v>7</v>
      </c>
      <c r="C157" s="11">
        <v>5.0</v>
      </c>
      <c r="D157" s="10"/>
    </row>
    <row r="158">
      <c r="A158" s="6">
        <f t="shared" si="20"/>
        <v>43391</v>
      </c>
      <c r="B158" s="7" t="s">
        <v>9</v>
      </c>
      <c r="C158" s="11">
        <v>5.0</v>
      </c>
      <c r="D158" s="9"/>
    </row>
    <row r="159">
      <c r="A159" s="6">
        <f t="shared" si="20"/>
        <v>43392</v>
      </c>
      <c r="B159" s="7" t="s">
        <v>10</v>
      </c>
      <c r="C159" s="11">
        <v>3.0</v>
      </c>
      <c r="D159" s="10"/>
    </row>
    <row r="160">
      <c r="A160" s="6">
        <f t="shared" si="20"/>
        <v>43393</v>
      </c>
      <c r="B160" s="7" t="s">
        <v>11</v>
      </c>
      <c r="C160" s="11">
        <v>10.0</v>
      </c>
      <c r="D160" s="10"/>
    </row>
    <row r="161">
      <c r="A161" s="6">
        <f t="shared" si="20"/>
        <v>43394</v>
      </c>
      <c r="B161" s="7" t="s">
        <v>12</v>
      </c>
      <c r="C161" s="8"/>
      <c r="D161" s="10"/>
    </row>
    <row r="162">
      <c r="A162" s="13"/>
      <c r="B162" s="18" t="s">
        <v>44</v>
      </c>
      <c r="C162" s="14" t="s">
        <v>45</v>
      </c>
      <c r="D162" s="15">
        <f>sum(C163:C169)</f>
        <v>17</v>
      </c>
    </row>
    <row r="163">
      <c r="A163" s="6">
        <f t="shared" ref="A163:A168" si="21">A164-1</f>
        <v>43395</v>
      </c>
      <c r="B163" s="7" t="s">
        <v>3</v>
      </c>
      <c r="C163" s="11"/>
      <c r="D163" s="10"/>
    </row>
    <row r="164">
      <c r="A164" s="6">
        <f t="shared" si="21"/>
        <v>43396</v>
      </c>
      <c r="B164" s="7" t="s">
        <v>5</v>
      </c>
      <c r="C164" s="11">
        <v>5.0</v>
      </c>
      <c r="D164" s="10"/>
    </row>
    <row r="165">
      <c r="A165" s="6">
        <f t="shared" si="21"/>
        <v>43397</v>
      </c>
      <c r="B165" s="7" t="s">
        <v>7</v>
      </c>
      <c r="C165" s="11">
        <v>4.0</v>
      </c>
      <c r="D165" s="10"/>
    </row>
    <row r="166">
      <c r="A166" s="6">
        <f t="shared" si="21"/>
        <v>43398</v>
      </c>
      <c r="B166" s="7" t="s">
        <v>9</v>
      </c>
      <c r="C166" s="11">
        <v>5.0</v>
      </c>
      <c r="D166" s="10"/>
    </row>
    <row r="167">
      <c r="A167" s="6">
        <f t="shared" si="21"/>
        <v>43399</v>
      </c>
      <c r="B167" s="7" t="s">
        <v>10</v>
      </c>
      <c r="C167" s="8"/>
      <c r="D167" s="10"/>
    </row>
    <row r="168">
      <c r="A168" s="6">
        <f t="shared" si="21"/>
        <v>43400</v>
      </c>
      <c r="B168" s="7" t="s">
        <v>11</v>
      </c>
      <c r="C168" s="8">
        <v>3.0</v>
      </c>
      <c r="D168" s="10"/>
    </row>
    <row r="169">
      <c r="A169" s="19">
        <v>43401.0</v>
      </c>
      <c r="B169" s="7" t="s">
        <v>12</v>
      </c>
      <c r="C169" s="8" t="s">
        <v>46</v>
      </c>
      <c r="D169" s="10"/>
    </row>
  </sheetData>
  <drawing r:id="rId1"/>
</worksheet>
</file>