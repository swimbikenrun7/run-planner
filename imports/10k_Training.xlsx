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<sst xmlns="http://schemas.openxmlformats.org/spreadsheetml/2006/main" count="147" uniqueCount="43">
  <si>
    <t>Date</t>
  </si>
  <si>
    <t>Weekly Mileage/Notes</t>
  </si>
  <si>
    <t>WK-0</t>
  </si>
  <si>
    <t>Miles</t>
  </si>
  <si>
    <t>Mon</t>
  </si>
  <si>
    <t>Should be capable of</t>
  </si>
  <si>
    <t>Tue</t>
  </si>
  <si>
    <t>this schedule before</t>
  </si>
  <si>
    <t>Wed</t>
  </si>
  <si>
    <t>beginning the program</t>
  </si>
  <si>
    <t>Thur</t>
  </si>
  <si>
    <t>Fri</t>
  </si>
  <si>
    <t>Sat</t>
  </si>
  <si>
    <t>Sun</t>
  </si>
  <si>
    <t>WK-1</t>
  </si>
  <si>
    <t>Fartlek</t>
  </si>
  <si>
    <t>WK-2</t>
  </si>
  <si>
    <t>Long</t>
  </si>
  <si>
    <t>5-6 Hills @ 5k/10k pace</t>
  </si>
  <si>
    <t>WK-3</t>
  </si>
  <si>
    <t>6x400 @ 5k pace</t>
  </si>
  <si>
    <t>WK-4</t>
  </si>
  <si>
    <t>4-5 Long Hills @ 5k/10k pace</t>
  </si>
  <si>
    <t>WK-5</t>
  </si>
  <si>
    <t>5k race (or 7m)</t>
  </si>
  <si>
    <t>5x800 @ 5k/10k pace</t>
  </si>
  <si>
    <t>WK-6</t>
  </si>
  <si>
    <t>5-6 Long Hills @ 5k/10k pace</t>
  </si>
  <si>
    <t>WK-7</t>
  </si>
  <si>
    <t>8x400 @ 5k pace</t>
  </si>
  <si>
    <t>WK-8</t>
  </si>
  <si>
    <t>10k race (or 8m)</t>
  </si>
  <si>
    <t>7x800 @ 5k/10k pace</t>
  </si>
  <si>
    <t>WK-9</t>
  </si>
  <si>
    <t>4xmile @ 5k/10k pace</t>
  </si>
  <si>
    <t>WK-10</t>
  </si>
  <si>
    <t>5x400 @ 5k pace - 10s</t>
  </si>
  <si>
    <t>Recovery</t>
  </si>
  <si>
    <t>WK-11</t>
  </si>
  <si>
    <t>4x800 @ 5k pace - 10s</t>
  </si>
  <si>
    <t>WK-12</t>
  </si>
  <si>
    <t>Begin Taper</t>
  </si>
  <si>
    <t>Race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</si>
</sst>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7.0"/>
      <name val="Arial"/>
    </font>
    <font>
      <b/>
      <sz val="7.0"/>
      <color rgb="FFFFFFFF"/>
      <name val="Verdana"/>
    </font>
    <font/>
    <font>
      <b/>
      <sz val="7.0"/>
      <color rgb="FF00009D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B5B5B5"/>
        <bgColor rgb="FFB5B5B5"/>
      </patternFill>
    </fill>
    <fill>
      <patternFill patternType="solid">
        <fgColor rgb="FFE0E0E0"/>
        <bgColor rgb="FFE0E0E0"/>
      </patternFill>
    </fill>
    <fill>
      <patternFill patternType="solid">
        <fgColor rgb="FF00009D"/>
        <bgColor rgb="FF00009D"/>
      </patternFill>
    </fill>
  </fills>
  <borders count="5">
    <border/>
    <border>
      <left/>
      <right/>
      <top/>
      <bottom/>
    </border>
    <border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readingOrder="0"/>
    </xf>
    <xf borderId="3" fillId="3" fontId="1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horizontal="center" shrinkToFit="0" vertical="bottom" wrapText="1"/>
    </xf>
    <xf borderId="4" fillId="3" fontId="2" numFmtId="0" xfId="0" applyAlignment="1" applyBorder="1" applyFill="1" applyFont="1">
      <alignment horizontal="center" shrinkToFit="0" vertical="bottom" wrapText="0"/>
    </xf>
    <xf borderId="3" fillId="4" fontId="4" numFmtId="16" xfId="0" applyAlignment="1" applyBorder="1" applyFill="1" applyFont="1" applyNumberFormat="1">
      <alignment horizontal="center"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4" fillId="5" fontId="4" numFmtId="0" xfId="0" applyAlignment="1" applyBorder="1" applyFill="1" applyFont="1">
      <alignment horizontal="center" shrinkToFit="0" vertical="bottom" wrapText="1"/>
    </xf>
    <xf borderId="4" fillId="5" fontId="4" numFmtId="0" xfId="0" applyAlignment="1" applyBorder="1" applyFill="1" applyFont="1">
      <alignment horizontal="center" shrinkToFit="0" vertical="bottom" wrapText="0"/>
    </xf>
    <xf borderId="4" fillId="5" fontId="4" numFmtId="0" xfId="0" applyAlignment="1" applyBorder="1" applyFill="1" applyFont="1">
      <alignment horizontal="center" readingOrder="0" shrinkToFit="0" vertical="bottom" wrapText="1"/>
    </xf>
    <xf borderId="4" fillId="5" fontId="1" numFmtId="0" xfId="0" applyAlignment="1" applyBorder="1" applyFill="1" applyFont="1">
      <alignment vertical="bottom"/>
    </xf>
    <xf borderId="4" fillId="3" fontId="1" numFmtId="0" xfId="0" applyAlignment="1" applyBorder="1" applyFill="1" applyFont="1">
      <alignment vertical="bottom"/>
    </xf>
    <xf borderId="4" fillId="5" fontId="4" numFmtId="0" xfId="0" applyAlignment="1" applyBorder="1" applyFill="1" applyFont="1">
      <alignment horizontal="center" readingOrder="0" shrinkToFit="0" vertical="bottom" wrapText="0"/>
    </xf>
    <xf borderId="3" fillId="6" fontId="1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horizontal="center" shrinkToFit="0" vertical="bottom" wrapText="1"/>
    </xf>
    <xf borderId="4" fillId="6" fontId="1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horizontal="center" shrinkToFit="0" vertical="bottom" wrapText="0"/>
    </xf>
    <xf borderId="3" fillId="4" fontId="4" numFmtId="16" xfId="0" applyAlignment="1" applyBorder="1" applyFill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  <col customWidth="1" min="6" max="6" width="13.25"/>
  </cols>
  <sheetData>
    <row r="1">
      <c r="A1" s="1"/>
      <c r="B1" s="2" t="s">
        <v>0</v>
      </c>
      <c r="C1" s="3"/>
      <c r="D1" s="4" t="s">
        <v>1</v>
      </c>
      <c r="E1" s="5"/>
    </row>
    <row r="2">
      <c r="A2" s="6"/>
      <c r="B2" s="7" t="s">
        <v>2</v>
      </c>
      <c r="C2" s="7" t="s">
        <v>3</v>
      </c>
      <c r="D2" s="8">
        <f>sum(C3:C9)</f>
        <v>24</v>
      </c>
    </row>
    <row r="3">
      <c r="A3" s="9">
        <f t="shared" ref="A3:A9" si="1">A11-7</f>
        <v>44928</v>
      </c>
      <c r="B3" s="10" t="s">
        <v>4</v>
      </c>
      <c r="C3" s="11">
        <v>3.0</v>
      </c>
      <c r="D3" s="12" t="s">
        <v>5</v>
      </c>
    </row>
    <row r="4">
      <c r="A4" s="9">
        <f t="shared" si="1"/>
        <v>44929</v>
      </c>
      <c r="B4" s="10" t="s">
        <v>6</v>
      </c>
      <c r="C4" s="13">
        <v>5.0</v>
      </c>
      <c r="D4" s="12" t="s">
        <v>7</v>
      </c>
    </row>
    <row r="5">
      <c r="A5" s="9">
        <f t="shared" si="1"/>
        <v>44930</v>
      </c>
      <c r="B5" s="10" t="s">
        <v>8</v>
      </c>
      <c r="C5" s="13">
        <v>3.0</v>
      </c>
      <c r="D5" s="12" t="s">
        <v>9</v>
      </c>
    </row>
    <row r="6">
      <c r="A6" s="9">
        <f t="shared" si="1"/>
        <v>44931</v>
      </c>
      <c r="B6" s="10" t="s">
        <v>10</v>
      </c>
      <c r="C6" s="13">
        <v>5.0</v>
      </c>
      <c r="D6" s="14"/>
    </row>
    <row r="7">
      <c r="A7" s="9">
        <f t="shared" si="1"/>
        <v>44932</v>
      </c>
      <c r="B7" s="10" t="s">
        <v>11</v>
      </c>
      <c r="C7" s="13">
        <v>3.0</v>
      </c>
      <c r="D7" s="14"/>
    </row>
    <row r="8">
      <c r="A8" s="9">
        <f t="shared" si="1"/>
        <v>44933</v>
      </c>
      <c r="B8" s="10" t="s">
        <v>12</v>
      </c>
      <c r="C8" s="13">
        <v>5.0</v>
      </c>
      <c r="D8" s="14"/>
    </row>
    <row r="9">
      <c r="A9" s="9">
        <f t="shared" si="1"/>
        <v>44934</v>
      </c>
      <c r="B9" s="10" t="s">
        <v>13</v>
      </c>
      <c r="C9" s="14"/>
      <c r="D9" s="14"/>
    </row>
    <row r="10">
      <c r="A10" s="6"/>
      <c r="B10" s="7" t="s">
        <v>14</v>
      </c>
      <c r="C10" s="7" t="s">
        <v>3</v>
      </c>
      <c r="D10" s="8">
        <f>sum(C11:C17)</f>
        <v>24</v>
      </c>
    </row>
    <row r="11">
      <c r="A11" s="9">
        <f t="shared" ref="A11:A17" si="2">A19-7</f>
        <v>44935</v>
      </c>
      <c r="B11" s="10" t="s">
        <v>4</v>
      </c>
      <c r="C11" s="13">
        <v>3.0</v>
      </c>
      <c r="D11" s="14"/>
    </row>
    <row r="12">
      <c r="A12" s="9">
        <f t="shared" si="2"/>
        <v>44936</v>
      </c>
      <c r="B12" s="10" t="s">
        <v>6</v>
      </c>
      <c r="C12" s="13">
        <v>5.0</v>
      </c>
      <c r="D12" s="12"/>
    </row>
    <row r="13">
      <c r="A13" s="9">
        <f t="shared" si="2"/>
        <v>44937</v>
      </c>
      <c r="B13" s="10" t="s">
        <v>8</v>
      </c>
      <c r="C13" s="13">
        <v>3.0</v>
      </c>
      <c r="D13" s="14"/>
    </row>
    <row r="14">
      <c r="A14" s="9">
        <f t="shared" si="2"/>
        <v>44938</v>
      </c>
      <c r="B14" s="10" t="s">
        <v>10</v>
      </c>
      <c r="C14" s="13">
        <v>5.0</v>
      </c>
      <c r="D14" s="14"/>
    </row>
    <row r="15">
      <c r="A15" s="9">
        <f t="shared" si="2"/>
        <v>44939</v>
      </c>
      <c r="B15" s="10" t="s">
        <v>11</v>
      </c>
      <c r="C15" s="13">
        <v>3.0</v>
      </c>
      <c r="D15" s="12"/>
    </row>
    <row r="16">
      <c r="A16" s="9">
        <f t="shared" si="2"/>
        <v>44940</v>
      </c>
      <c r="B16" s="10" t="s">
        <v>12</v>
      </c>
      <c r="C16" s="13"/>
      <c r="D16" s="14"/>
    </row>
    <row r="17">
      <c r="A17" s="9">
        <f t="shared" si="2"/>
        <v>44941</v>
      </c>
      <c r="B17" s="10" t="s">
        <v>13</v>
      </c>
      <c r="C17" s="13">
        <v>5.0</v>
      </c>
      <c r="D17" s="12" t="s">
        <v>15</v>
      </c>
    </row>
    <row r="18">
      <c r="A18" s="6"/>
      <c r="B18" s="7" t="s">
        <v>14</v>
      </c>
      <c r="C18" s="7" t="s">
        <v>3</v>
      </c>
      <c r="D18" s="8">
        <f>sum(C19:C25)</f>
        <v>26</v>
      </c>
    </row>
    <row r="19">
      <c r="A19" s="9">
        <f t="shared" ref="A19:A25" si="3">A27-7</f>
        <v>44942</v>
      </c>
      <c r="B19" s="10" t="s">
        <v>4</v>
      </c>
      <c r="C19" s="13">
        <v>3.0</v>
      </c>
      <c r="D19" s="14"/>
    </row>
    <row r="20">
      <c r="A20" s="9">
        <f t="shared" si="3"/>
        <v>44943</v>
      </c>
      <c r="B20" s="10" t="s">
        <v>6</v>
      </c>
      <c r="C20" s="13">
        <v>6.0</v>
      </c>
      <c r="D20" s="12"/>
    </row>
    <row r="21">
      <c r="A21" s="9">
        <f t="shared" si="3"/>
        <v>44944</v>
      </c>
      <c r="B21" s="10" t="s">
        <v>8</v>
      </c>
      <c r="C21" s="13">
        <v>3.0</v>
      </c>
      <c r="D21" s="14"/>
    </row>
    <row r="22">
      <c r="A22" s="9">
        <f t="shared" si="3"/>
        <v>44945</v>
      </c>
      <c r="B22" s="10" t="s">
        <v>10</v>
      </c>
      <c r="C22" s="11">
        <v>3.0</v>
      </c>
      <c r="D22" s="14"/>
    </row>
    <row r="23">
      <c r="A23" s="9">
        <f t="shared" si="3"/>
        <v>44946</v>
      </c>
      <c r="B23" s="10" t="s">
        <v>11</v>
      </c>
      <c r="C23" s="13">
        <v>6.0</v>
      </c>
      <c r="D23" s="12"/>
    </row>
    <row r="24">
      <c r="A24" s="9">
        <f t="shared" si="3"/>
        <v>44947</v>
      </c>
      <c r="B24" s="10" t="s">
        <v>12</v>
      </c>
      <c r="C24" s="13"/>
      <c r="D24" s="14"/>
    </row>
    <row r="25">
      <c r="A25" s="9">
        <f t="shared" si="3"/>
        <v>44948</v>
      </c>
      <c r="B25" s="10" t="s">
        <v>13</v>
      </c>
      <c r="C25" s="13">
        <v>5.0</v>
      </c>
      <c r="D25" s="12" t="s">
        <v>15</v>
      </c>
    </row>
    <row r="26">
      <c r="A26" s="6"/>
      <c r="B26" s="7" t="s">
        <v>16</v>
      </c>
      <c r="C26" s="15"/>
      <c r="D26" s="8">
        <f>sum(C27:C33)</f>
        <v>29</v>
      </c>
    </row>
    <row r="27">
      <c r="A27" s="9">
        <f t="shared" ref="A27:A33" si="4">A35-7</f>
        <v>44949</v>
      </c>
      <c r="B27" s="10" t="s">
        <v>4</v>
      </c>
      <c r="C27" s="13">
        <v>4.0</v>
      </c>
      <c r="D27" s="14"/>
    </row>
    <row r="28">
      <c r="A28" s="9">
        <f t="shared" si="4"/>
        <v>44950</v>
      </c>
      <c r="B28" s="10" t="s">
        <v>6</v>
      </c>
      <c r="C28" s="13">
        <v>5.0</v>
      </c>
      <c r="D28" s="12"/>
    </row>
    <row r="29">
      <c r="A29" s="9">
        <f t="shared" si="4"/>
        <v>44951</v>
      </c>
      <c r="B29" s="10" t="s">
        <v>8</v>
      </c>
      <c r="C29" s="13">
        <v>4.0</v>
      </c>
      <c r="D29" s="16"/>
    </row>
    <row r="30">
      <c r="A30" s="9">
        <f t="shared" si="4"/>
        <v>44952</v>
      </c>
      <c r="B30" s="10" t="s">
        <v>10</v>
      </c>
      <c r="C30" s="13">
        <v>4.0</v>
      </c>
      <c r="D30" s="16"/>
    </row>
    <row r="31">
      <c r="A31" s="9">
        <f t="shared" si="4"/>
        <v>44953</v>
      </c>
      <c r="B31" s="10" t="s">
        <v>11</v>
      </c>
      <c r="C31" s="13">
        <v>7.0</v>
      </c>
      <c r="D31" s="16" t="s">
        <v>17</v>
      </c>
    </row>
    <row r="32">
      <c r="A32" s="9">
        <f t="shared" si="4"/>
        <v>44954</v>
      </c>
      <c r="B32" s="10" t="s">
        <v>12</v>
      </c>
      <c r="C32" s="13"/>
      <c r="D32" s="14"/>
    </row>
    <row r="33">
      <c r="A33" s="9">
        <f t="shared" si="4"/>
        <v>44955</v>
      </c>
      <c r="B33" s="10" t="s">
        <v>13</v>
      </c>
      <c r="C33" s="13">
        <v>5.0</v>
      </c>
      <c r="D33" s="12" t="s">
        <v>18</v>
      </c>
    </row>
    <row r="34">
      <c r="A34" s="6"/>
      <c r="B34" s="7" t="s">
        <v>19</v>
      </c>
      <c r="C34" s="15"/>
      <c r="D34" s="8">
        <f>sum(C35:C41)</f>
        <v>29</v>
      </c>
    </row>
    <row r="35">
      <c r="A35" s="9">
        <f t="shared" ref="A35:A41" si="5">A43-7</f>
        <v>44956</v>
      </c>
      <c r="B35" s="10" t="s">
        <v>4</v>
      </c>
      <c r="C35" s="11">
        <v>4.0</v>
      </c>
      <c r="D35" s="12"/>
    </row>
    <row r="36">
      <c r="A36" s="9">
        <f t="shared" si="5"/>
        <v>44957</v>
      </c>
      <c r="B36" s="10" t="s">
        <v>6</v>
      </c>
      <c r="C36" s="13">
        <v>6.0</v>
      </c>
      <c r="D36" s="14"/>
    </row>
    <row r="37">
      <c r="A37" s="9">
        <f t="shared" si="5"/>
        <v>44958</v>
      </c>
      <c r="B37" s="10" t="s">
        <v>8</v>
      </c>
      <c r="C37" s="13">
        <v>3.0</v>
      </c>
      <c r="D37" s="16"/>
    </row>
    <row r="38">
      <c r="A38" s="9">
        <f t="shared" si="5"/>
        <v>44959</v>
      </c>
      <c r="B38" s="10" t="s">
        <v>10</v>
      </c>
      <c r="C38" s="13">
        <v>4.0</v>
      </c>
      <c r="D38" s="16"/>
    </row>
    <row r="39">
      <c r="A39" s="9">
        <f t="shared" si="5"/>
        <v>44960</v>
      </c>
      <c r="B39" s="10" t="s">
        <v>11</v>
      </c>
      <c r="C39" s="13">
        <v>8.0</v>
      </c>
      <c r="D39" s="16" t="s">
        <v>17</v>
      </c>
    </row>
    <row r="40">
      <c r="A40" s="9">
        <f t="shared" si="5"/>
        <v>44961</v>
      </c>
      <c r="B40" s="10" t="s">
        <v>12</v>
      </c>
      <c r="C40" s="13"/>
      <c r="D40" s="14"/>
    </row>
    <row r="41">
      <c r="A41" s="9">
        <f t="shared" si="5"/>
        <v>44962</v>
      </c>
      <c r="B41" s="10" t="s">
        <v>13</v>
      </c>
      <c r="C41" s="13">
        <v>4.0</v>
      </c>
      <c r="D41" s="16" t="s">
        <v>20</v>
      </c>
    </row>
    <row r="42">
      <c r="A42" s="17"/>
      <c r="B42" s="18" t="s">
        <v>21</v>
      </c>
      <c r="C42" s="19"/>
      <c r="D42" s="20">
        <f>sum(C43:C49)</f>
        <v>31</v>
      </c>
    </row>
    <row r="43">
      <c r="A43" s="9">
        <f t="shared" ref="A43:A49" si="6">A51-7</f>
        <v>44963</v>
      </c>
      <c r="B43" s="10" t="s">
        <v>4</v>
      </c>
      <c r="C43" s="13">
        <v>5.0</v>
      </c>
      <c r="D43" s="14"/>
    </row>
    <row r="44">
      <c r="A44" s="9">
        <f t="shared" si="6"/>
        <v>44964</v>
      </c>
      <c r="B44" s="10" t="s">
        <v>6</v>
      </c>
      <c r="C44" s="13">
        <v>6.0</v>
      </c>
      <c r="D44" s="14"/>
    </row>
    <row r="45">
      <c r="A45" s="9">
        <f t="shared" si="6"/>
        <v>44965</v>
      </c>
      <c r="B45" s="10" t="s">
        <v>8</v>
      </c>
      <c r="C45" s="13">
        <v>3.0</v>
      </c>
      <c r="D45" s="16"/>
    </row>
    <row r="46">
      <c r="A46" s="9">
        <f t="shared" si="6"/>
        <v>44966</v>
      </c>
      <c r="B46" s="10" t="s">
        <v>10</v>
      </c>
      <c r="C46" s="13">
        <v>4.0</v>
      </c>
      <c r="D46" s="16"/>
    </row>
    <row r="47">
      <c r="A47" s="9">
        <f t="shared" si="6"/>
        <v>44967</v>
      </c>
      <c r="B47" s="10" t="s">
        <v>11</v>
      </c>
      <c r="C47" s="13">
        <v>9.0</v>
      </c>
      <c r="D47" s="16" t="s">
        <v>17</v>
      </c>
    </row>
    <row r="48">
      <c r="A48" s="9">
        <f t="shared" si="6"/>
        <v>44968</v>
      </c>
      <c r="B48" s="10" t="s">
        <v>12</v>
      </c>
      <c r="C48" s="13"/>
      <c r="D48" s="14"/>
    </row>
    <row r="49">
      <c r="A49" s="9">
        <f t="shared" si="6"/>
        <v>44969</v>
      </c>
      <c r="B49" s="10" t="s">
        <v>13</v>
      </c>
      <c r="C49" s="13">
        <v>4.0</v>
      </c>
      <c r="D49" s="16" t="s">
        <v>22</v>
      </c>
    </row>
    <row r="50">
      <c r="A50" s="6"/>
      <c r="B50" s="7" t="s">
        <v>23</v>
      </c>
      <c r="C50" s="15"/>
      <c r="D50" s="8">
        <f>sum(C51:C57)</f>
        <v>27</v>
      </c>
    </row>
    <row r="51">
      <c r="A51" s="9">
        <f t="shared" ref="A51:A57" si="7">A59-7</f>
        <v>44970</v>
      </c>
      <c r="B51" s="10" t="s">
        <v>4</v>
      </c>
      <c r="C51" s="13">
        <v>5.0</v>
      </c>
      <c r="D51" s="14"/>
    </row>
    <row r="52">
      <c r="A52" s="9">
        <f t="shared" si="7"/>
        <v>44971</v>
      </c>
      <c r="B52" s="10" t="s">
        <v>6</v>
      </c>
      <c r="C52" s="13">
        <v>6.0</v>
      </c>
      <c r="D52" s="14"/>
    </row>
    <row r="53">
      <c r="A53" s="9">
        <f t="shared" si="7"/>
        <v>44972</v>
      </c>
      <c r="B53" s="10" t="s">
        <v>8</v>
      </c>
      <c r="C53" s="13">
        <v>3.0</v>
      </c>
      <c r="D53" s="16"/>
    </row>
    <row r="54">
      <c r="A54" s="9">
        <f t="shared" si="7"/>
        <v>44973</v>
      </c>
      <c r="B54" s="10" t="s">
        <v>10</v>
      </c>
      <c r="C54" s="13">
        <v>4.0</v>
      </c>
      <c r="D54" s="14"/>
    </row>
    <row r="55">
      <c r="A55" s="9">
        <f t="shared" si="7"/>
        <v>44974</v>
      </c>
      <c r="B55" s="10" t="s">
        <v>11</v>
      </c>
      <c r="C55" s="13">
        <v>4.0</v>
      </c>
      <c r="D55" s="16" t="s">
        <v>24</v>
      </c>
    </row>
    <row r="56">
      <c r="A56" s="9">
        <f t="shared" si="7"/>
        <v>44975</v>
      </c>
      <c r="B56" s="10" t="s">
        <v>12</v>
      </c>
      <c r="C56" s="11"/>
      <c r="D56" s="14"/>
    </row>
    <row r="57">
      <c r="A57" s="9">
        <f t="shared" si="7"/>
        <v>44976</v>
      </c>
      <c r="B57" s="10" t="s">
        <v>13</v>
      </c>
      <c r="C57" s="13">
        <v>5.0</v>
      </c>
      <c r="D57" s="16" t="s">
        <v>25</v>
      </c>
    </row>
    <row r="58">
      <c r="A58" s="6"/>
      <c r="B58" s="7" t="s">
        <v>26</v>
      </c>
      <c r="C58" s="15"/>
      <c r="D58" s="8">
        <f>sum(C59:C65)</f>
        <v>33</v>
      </c>
    </row>
    <row r="59">
      <c r="A59" s="9">
        <f t="shared" ref="A59:A65" si="8">A67-7</f>
        <v>44977</v>
      </c>
      <c r="B59" s="10" t="s">
        <v>4</v>
      </c>
      <c r="C59" s="13">
        <v>5.0</v>
      </c>
      <c r="D59" s="14"/>
    </row>
    <row r="60">
      <c r="A60" s="9">
        <f t="shared" si="8"/>
        <v>44978</v>
      </c>
      <c r="B60" s="10" t="s">
        <v>6</v>
      </c>
      <c r="C60" s="13">
        <v>7.0</v>
      </c>
      <c r="D60" s="14"/>
    </row>
    <row r="61">
      <c r="A61" s="9">
        <f t="shared" si="8"/>
        <v>44979</v>
      </c>
      <c r="B61" s="10" t="s">
        <v>8</v>
      </c>
      <c r="C61" s="13">
        <v>3.0</v>
      </c>
      <c r="D61" s="16"/>
    </row>
    <row r="62">
      <c r="A62" s="9">
        <f t="shared" si="8"/>
        <v>44980</v>
      </c>
      <c r="B62" s="10" t="s">
        <v>10</v>
      </c>
      <c r="C62" s="13">
        <v>5.0</v>
      </c>
      <c r="D62" s="16"/>
    </row>
    <row r="63">
      <c r="A63" s="9">
        <f t="shared" si="8"/>
        <v>44981</v>
      </c>
      <c r="B63" s="10" t="s">
        <v>11</v>
      </c>
      <c r="C63" s="11">
        <v>8.0</v>
      </c>
      <c r="D63" s="16" t="s">
        <v>17</v>
      </c>
    </row>
    <row r="64">
      <c r="A64" s="9">
        <f t="shared" si="8"/>
        <v>44982</v>
      </c>
      <c r="B64" s="10" t="s">
        <v>12</v>
      </c>
      <c r="C64" s="11"/>
      <c r="D64" s="14"/>
    </row>
    <row r="65">
      <c r="A65" s="9">
        <f t="shared" si="8"/>
        <v>44983</v>
      </c>
      <c r="B65" s="10" t="s">
        <v>13</v>
      </c>
      <c r="C65" s="13">
        <v>5.0</v>
      </c>
      <c r="D65" s="16" t="s">
        <v>27</v>
      </c>
    </row>
    <row r="66">
      <c r="A66" s="6"/>
      <c r="B66" s="7" t="s">
        <v>28</v>
      </c>
      <c r="C66" s="15"/>
      <c r="D66" s="8">
        <f>sum(C67:C73)</f>
        <v>34</v>
      </c>
    </row>
    <row r="67">
      <c r="A67" s="9">
        <f t="shared" ref="A67:A73" si="9">A75-7</f>
        <v>44984</v>
      </c>
      <c r="B67" s="10" t="s">
        <v>4</v>
      </c>
      <c r="C67" s="13">
        <v>5.0</v>
      </c>
      <c r="D67" s="14"/>
    </row>
    <row r="68">
      <c r="A68" s="9">
        <f t="shared" si="9"/>
        <v>44985</v>
      </c>
      <c r="B68" s="10" t="s">
        <v>6</v>
      </c>
      <c r="C68" s="13">
        <v>7.0</v>
      </c>
      <c r="D68" s="16"/>
    </row>
    <row r="69">
      <c r="A69" s="9">
        <f t="shared" si="9"/>
        <v>44986</v>
      </c>
      <c r="B69" s="10" t="s">
        <v>8</v>
      </c>
      <c r="C69" s="13">
        <v>4.0</v>
      </c>
      <c r="D69" s="16"/>
    </row>
    <row r="70">
      <c r="A70" s="9">
        <f t="shared" si="9"/>
        <v>44987</v>
      </c>
      <c r="B70" s="10" t="s">
        <v>10</v>
      </c>
      <c r="C70" s="13">
        <v>4.0</v>
      </c>
      <c r="D70" s="16"/>
    </row>
    <row r="71">
      <c r="A71" s="9">
        <f t="shared" si="9"/>
        <v>44988</v>
      </c>
      <c r="B71" s="10" t="s">
        <v>11</v>
      </c>
      <c r="C71" s="13">
        <v>10.0</v>
      </c>
      <c r="D71" s="16" t="s">
        <v>17</v>
      </c>
    </row>
    <row r="72">
      <c r="A72" s="9">
        <f t="shared" si="9"/>
        <v>44989</v>
      </c>
      <c r="B72" s="10" t="s">
        <v>12</v>
      </c>
      <c r="C72" s="13"/>
      <c r="D72" s="14"/>
    </row>
    <row r="73">
      <c r="A73" s="9">
        <f t="shared" si="9"/>
        <v>44990</v>
      </c>
      <c r="B73" s="10" t="s">
        <v>13</v>
      </c>
      <c r="C73" s="13">
        <v>4.0</v>
      </c>
      <c r="D73" s="16" t="s">
        <v>29</v>
      </c>
    </row>
    <row r="74">
      <c r="A74" s="17"/>
      <c r="B74" s="18" t="s">
        <v>30</v>
      </c>
      <c r="C74" s="19"/>
      <c r="D74" s="20">
        <f>sum(C75:C81)</f>
        <v>32</v>
      </c>
    </row>
    <row r="75">
      <c r="A75" s="9">
        <f t="shared" ref="A75:A81" si="10">A83-7</f>
        <v>44991</v>
      </c>
      <c r="B75" s="10" t="s">
        <v>4</v>
      </c>
      <c r="C75" s="13">
        <v>5.0</v>
      </c>
      <c r="D75" s="16"/>
    </row>
    <row r="76">
      <c r="A76" s="9">
        <f t="shared" si="10"/>
        <v>44992</v>
      </c>
      <c r="B76" s="10" t="s">
        <v>6</v>
      </c>
      <c r="C76" s="13">
        <v>7.0</v>
      </c>
      <c r="D76" s="16"/>
    </row>
    <row r="77">
      <c r="A77" s="9">
        <f t="shared" si="10"/>
        <v>44993</v>
      </c>
      <c r="B77" s="10" t="s">
        <v>8</v>
      </c>
      <c r="C77" s="13">
        <v>4.0</v>
      </c>
      <c r="D77" s="16"/>
    </row>
    <row r="78">
      <c r="A78" s="9">
        <f t="shared" si="10"/>
        <v>44994</v>
      </c>
      <c r="B78" s="10" t="s">
        <v>10</v>
      </c>
      <c r="C78" s="13">
        <v>4.0</v>
      </c>
      <c r="D78" s="16"/>
      <c r="F78" s="5"/>
    </row>
    <row r="79">
      <c r="A79" s="9">
        <f t="shared" si="10"/>
        <v>44995</v>
      </c>
      <c r="B79" s="10" t="s">
        <v>11</v>
      </c>
      <c r="C79" s="13">
        <v>7.0</v>
      </c>
      <c r="D79" s="16" t="s">
        <v>31</v>
      </c>
    </row>
    <row r="80">
      <c r="A80" s="9">
        <f t="shared" si="10"/>
        <v>44996</v>
      </c>
      <c r="B80" s="10" t="s">
        <v>12</v>
      </c>
      <c r="C80" s="13"/>
      <c r="D80" s="16"/>
    </row>
    <row r="81">
      <c r="A81" s="9">
        <f t="shared" si="10"/>
        <v>44997</v>
      </c>
      <c r="B81" s="10" t="s">
        <v>13</v>
      </c>
      <c r="C81" s="13">
        <v>5.0</v>
      </c>
      <c r="D81" s="16" t="s">
        <v>32</v>
      </c>
    </row>
    <row r="82">
      <c r="A82" s="6"/>
      <c r="B82" s="7" t="s">
        <v>33</v>
      </c>
      <c r="C82" s="15"/>
      <c r="D82" s="8">
        <f>sum(C83:C89)</f>
        <v>33</v>
      </c>
    </row>
    <row r="83">
      <c r="A83" s="9">
        <f t="shared" ref="A83:A89" si="11">A91-7</f>
        <v>44998</v>
      </c>
      <c r="B83" s="10" t="s">
        <v>4</v>
      </c>
      <c r="C83" s="13">
        <v>5.0</v>
      </c>
      <c r="D83" s="12"/>
    </row>
    <row r="84">
      <c r="A84" s="9">
        <f t="shared" si="11"/>
        <v>44999</v>
      </c>
      <c r="B84" s="10" t="s">
        <v>6</v>
      </c>
      <c r="C84" s="13">
        <v>7.0</v>
      </c>
      <c r="D84" s="12"/>
    </row>
    <row r="85">
      <c r="A85" s="9">
        <f t="shared" si="11"/>
        <v>45000</v>
      </c>
      <c r="B85" s="10" t="s">
        <v>8</v>
      </c>
      <c r="C85" s="13">
        <v>4.0</v>
      </c>
      <c r="D85" s="16"/>
    </row>
    <row r="86">
      <c r="A86" s="9">
        <f t="shared" si="11"/>
        <v>45001</v>
      </c>
      <c r="B86" s="10" t="s">
        <v>10</v>
      </c>
      <c r="C86" s="13">
        <v>4.0</v>
      </c>
      <c r="D86" s="16"/>
    </row>
    <row r="87">
      <c r="A87" s="9">
        <f t="shared" si="11"/>
        <v>45002</v>
      </c>
      <c r="B87" s="10" t="s">
        <v>11</v>
      </c>
      <c r="C87" s="13">
        <v>8.0</v>
      </c>
      <c r="D87" s="16" t="s">
        <v>17</v>
      </c>
    </row>
    <row r="88">
      <c r="A88" s="9">
        <f t="shared" si="11"/>
        <v>45003</v>
      </c>
      <c r="B88" s="10" t="s">
        <v>12</v>
      </c>
      <c r="C88" s="13"/>
      <c r="D88" s="12"/>
    </row>
    <row r="89">
      <c r="A89" s="9">
        <f t="shared" si="11"/>
        <v>45004</v>
      </c>
      <c r="B89" s="10" t="s">
        <v>13</v>
      </c>
      <c r="C89" s="13">
        <v>5.0</v>
      </c>
      <c r="D89" s="12" t="s">
        <v>34</v>
      </c>
    </row>
    <row r="90">
      <c r="A90" s="6"/>
      <c r="B90" s="7" t="s">
        <v>35</v>
      </c>
      <c r="C90" s="15"/>
      <c r="D90" s="8">
        <f>sum(C91:C97)</f>
        <v>30</v>
      </c>
    </row>
    <row r="91">
      <c r="A91" s="9">
        <f t="shared" ref="A91:A97" si="12">A99-7</f>
        <v>45005</v>
      </c>
      <c r="B91" s="10" t="s">
        <v>4</v>
      </c>
      <c r="C91" s="13">
        <v>5.0</v>
      </c>
      <c r="D91" s="14"/>
    </row>
    <row r="92">
      <c r="A92" s="9">
        <f t="shared" si="12"/>
        <v>45006</v>
      </c>
      <c r="B92" s="10" t="s">
        <v>6</v>
      </c>
      <c r="C92" s="13">
        <v>5.0</v>
      </c>
      <c r="D92" s="16"/>
    </row>
    <row r="93">
      <c r="A93" s="9">
        <f t="shared" si="12"/>
        <v>45007</v>
      </c>
      <c r="B93" s="10" t="s">
        <v>8</v>
      </c>
      <c r="C93" s="13">
        <v>3.0</v>
      </c>
      <c r="D93" s="16" t="s">
        <v>36</v>
      </c>
    </row>
    <row r="94">
      <c r="A94" s="9">
        <f t="shared" si="12"/>
        <v>45008</v>
      </c>
      <c r="B94" s="10" t="s">
        <v>10</v>
      </c>
      <c r="C94" s="13">
        <v>4.0</v>
      </c>
      <c r="D94" s="16" t="s">
        <v>37</v>
      </c>
    </row>
    <row r="95">
      <c r="A95" s="9">
        <f t="shared" si="12"/>
        <v>45009</v>
      </c>
      <c r="B95" s="10" t="s">
        <v>11</v>
      </c>
      <c r="C95" s="13">
        <v>8.0</v>
      </c>
      <c r="D95" s="16" t="s">
        <v>17</v>
      </c>
    </row>
    <row r="96">
      <c r="A96" s="9">
        <f t="shared" si="12"/>
        <v>45010</v>
      </c>
      <c r="B96" s="10" t="s">
        <v>12</v>
      </c>
      <c r="C96" s="13"/>
      <c r="D96" s="16"/>
    </row>
    <row r="97">
      <c r="A97" s="9">
        <f t="shared" si="12"/>
        <v>45011</v>
      </c>
      <c r="B97" s="10" t="s">
        <v>13</v>
      </c>
      <c r="C97" s="13">
        <v>5.0</v>
      </c>
      <c r="D97" s="16" t="s">
        <v>29</v>
      </c>
    </row>
    <row r="98">
      <c r="A98" s="6"/>
      <c r="B98" s="7" t="s">
        <v>38</v>
      </c>
      <c r="C98" s="15"/>
      <c r="D98" s="8">
        <f>sum(C99:C105)</f>
        <v>26</v>
      </c>
    </row>
    <row r="99">
      <c r="A99" s="9">
        <f t="shared" ref="A99:A105" si="13">A107-7</f>
        <v>45012</v>
      </c>
      <c r="B99" s="10" t="s">
        <v>4</v>
      </c>
      <c r="C99" s="13">
        <v>5.0</v>
      </c>
      <c r="D99" s="14"/>
    </row>
    <row r="100">
      <c r="A100" s="9">
        <f t="shared" si="13"/>
        <v>45013</v>
      </c>
      <c r="B100" s="10" t="s">
        <v>6</v>
      </c>
      <c r="C100" s="13">
        <v>3.0</v>
      </c>
      <c r="D100" s="16"/>
    </row>
    <row r="101">
      <c r="A101" s="9">
        <f t="shared" si="13"/>
        <v>45014</v>
      </c>
      <c r="B101" s="10" t="s">
        <v>8</v>
      </c>
      <c r="C101" s="13">
        <v>4.0</v>
      </c>
      <c r="D101" s="16" t="s">
        <v>39</v>
      </c>
    </row>
    <row r="102">
      <c r="A102" s="9">
        <f t="shared" si="13"/>
        <v>45015</v>
      </c>
      <c r="B102" s="10" t="s">
        <v>10</v>
      </c>
      <c r="C102" s="13">
        <v>5.0</v>
      </c>
      <c r="D102" s="16" t="s">
        <v>37</v>
      </c>
    </row>
    <row r="103">
      <c r="A103" s="9">
        <f t="shared" si="13"/>
        <v>45016</v>
      </c>
      <c r="B103" s="10" t="s">
        <v>11</v>
      </c>
      <c r="C103" s="13"/>
      <c r="D103" s="12"/>
    </row>
    <row r="104">
      <c r="A104" s="9">
        <f t="shared" si="13"/>
        <v>45017</v>
      </c>
      <c r="B104" s="10" t="s">
        <v>12</v>
      </c>
      <c r="C104" s="13">
        <v>4.0</v>
      </c>
      <c r="D104" s="16" t="s">
        <v>20</v>
      </c>
      <c r="E104" s="5"/>
    </row>
    <row r="105">
      <c r="A105" s="9">
        <f t="shared" si="13"/>
        <v>45018</v>
      </c>
      <c r="B105" s="10" t="s">
        <v>13</v>
      </c>
      <c r="C105" s="13">
        <v>5.0</v>
      </c>
      <c r="D105" s="14"/>
    </row>
    <row r="106">
      <c r="A106" s="17"/>
      <c r="B106" s="18" t="s">
        <v>40</v>
      </c>
      <c r="C106" s="18" t="s">
        <v>41</v>
      </c>
      <c r="D106" s="20">
        <f>sum(C107:C112)</f>
        <v>7</v>
      </c>
    </row>
    <row r="107">
      <c r="A107" s="9">
        <f t="shared" ref="A107:A112" si="14">A108-1</f>
        <v>45019</v>
      </c>
      <c r="B107" s="10" t="s">
        <v>4</v>
      </c>
      <c r="C107" s="13">
        <v>3.0</v>
      </c>
      <c r="D107" s="14"/>
    </row>
    <row r="108">
      <c r="A108" s="9">
        <f t="shared" si="14"/>
        <v>45020</v>
      </c>
      <c r="B108" s="10" t="s">
        <v>6</v>
      </c>
      <c r="C108" s="13"/>
      <c r="D108" s="12"/>
    </row>
    <row r="109">
      <c r="A109" s="9">
        <f t="shared" si="14"/>
        <v>45021</v>
      </c>
      <c r="B109" s="10" t="s">
        <v>8</v>
      </c>
      <c r="C109" s="13">
        <v>4.0</v>
      </c>
      <c r="D109" s="14"/>
    </row>
    <row r="110">
      <c r="A110" s="9">
        <f t="shared" si="14"/>
        <v>45022</v>
      </c>
      <c r="B110" s="10" t="s">
        <v>10</v>
      </c>
      <c r="C110" s="13"/>
      <c r="D110" s="14"/>
      <c r="E110" s="5"/>
    </row>
    <row r="111">
      <c r="A111" s="9">
        <f t="shared" si="14"/>
        <v>45023</v>
      </c>
      <c r="B111" s="10" t="s">
        <v>11</v>
      </c>
      <c r="C111" s="13"/>
      <c r="D111" s="14"/>
    </row>
    <row r="112">
      <c r="A112" s="9">
        <f t="shared" si="14"/>
        <v>45024</v>
      </c>
      <c r="B112" s="10" t="s">
        <v>12</v>
      </c>
      <c r="C112" s="13" t="s">
        <v>42</v>
      </c>
      <c r="D112" s="14"/>
    </row>
    <row r="113">
      <c r="A113" s="21">
        <v>45025.0</v>
      </c>
      <c r="B113" s="10" t="s">
        <v>13</v>
      </c>
      <c r="C113" s="13"/>
      <c r="D113" s="14"/>
    </row>
  </sheetData>
  <drawing r:id="rId1"/>
</worksheet>
</file>